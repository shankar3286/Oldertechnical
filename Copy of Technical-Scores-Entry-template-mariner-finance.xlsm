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61638066-69CD-5DBD-CD94-FFEC8A4DF156}"/>
  <workbookPr codeName="ThisWorkbook"/>
  <bookViews>
    <workbookView xWindow="0" yWindow="0" windowWidth="20730" windowHeight="11625" activeTab="3"/>
  </bookViews>
  <sheets>
    <sheet name="Exported Scores" sheetId="16" r:id="rId1"/>
    <sheet name="Data" sheetId="17" r:id="rId2"/>
    <sheet name="URLs" sheetId="15" r:id="rId3"/>
    <sheet name="Tech Scores" sheetId="13" r:id="rId4"/>
    <sheet name="Averages" sheetId="14" r:id="rId5"/>
    <sheet name="Sheet1" sheetId="18" r:id="rId6"/>
  </sheets>
  <calcPr calcId="144525"/>
  <pivotCaches>
    <pivotCache cacheId="0" r:id="rId7"/>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23" i="14" l="1"/>
  <c r="K23" i="14"/>
  <c r="J23" i="14"/>
  <c r="I23" i="14"/>
  <c r="H23" i="14"/>
  <c r="G23" i="14"/>
  <c r="F23" i="14"/>
  <c r="E23" i="14"/>
  <c r="D23" i="14"/>
  <c r="C23" i="14"/>
  <c r="L22" i="14"/>
  <c r="K22" i="14"/>
  <c r="J22" i="14"/>
  <c r="I22" i="14"/>
  <c r="H22" i="14"/>
  <c r="G22" i="14"/>
  <c r="F22" i="14"/>
  <c r="E22" i="14"/>
  <c r="D22" i="14"/>
  <c r="C22" i="14"/>
  <c r="L21" i="14" l="1"/>
  <c r="K21" i="14"/>
  <c r="J21" i="14"/>
  <c r="I21" i="14"/>
  <c r="H21" i="14"/>
  <c r="G21" i="14"/>
  <c r="F21" i="14"/>
  <c r="E21" i="14"/>
  <c r="D21" i="14"/>
  <c r="C21" i="14"/>
  <c r="L20" i="14"/>
  <c r="K20" i="14"/>
  <c r="J20" i="14"/>
  <c r="I20" i="14"/>
  <c r="H20" i="14"/>
  <c r="G20" i="14"/>
  <c r="F20" i="14"/>
  <c r="E20" i="14"/>
  <c r="D20" i="14"/>
  <c r="C20" i="14"/>
  <c r="L12" i="14"/>
  <c r="K12" i="14"/>
  <c r="J12" i="14"/>
  <c r="I12" i="14"/>
  <c r="H12" i="14"/>
  <c r="G12" i="14"/>
  <c r="F12" i="14"/>
  <c r="E12" i="14"/>
  <c r="D12" i="14"/>
  <c r="C12" i="14"/>
  <c r="L11" i="14"/>
  <c r="K11" i="14"/>
  <c r="J11" i="14"/>
  <c r="I11" i="14"/>
  <c r="H11" i="14"/>
  <c r="G11" i="14"/>
  <c r="F11" i="14"/>
  <c r="E11" i="14"/>
  <c r="D11" i="14"/>
  <c r="C11" i="14"/>
  <c r="L10" i="14"/>
  <c r="K10" i="14"/>
  <c r="J10" i="14"/>
  <c r="I10" i="14"/>
  <c r="H10" i="14"/>
  <c r="G10" i="14"/>
  <c r="F10" i="14"/>
  <c r="E10" i="14"/>
  <c r="D10" i="14"/>
  <c r="C10" i="14"/>
  <c r="L9" i="14"/>
  <c r="K9" i="14"/>
  <c r="J9" i="14"/>
  <c r="I9" i="14"/>
  <c r="H9" i="14"/>
  <c r="G9" i="14"/>
  <c r="F9" i="14"/>
  <c r="E9" i="14"/>
  <c r="D9" i="14"/>
  <c r="C9" i="14"/>
  <c r="L7" i="14"/>
  <c r="V7" i="14" s="1"/>
  <c r="K7" i="14"/>
  <c r="U7" i="14" s="1"/>
  <c r="J7" i="14"/>
  <c r="T7" i="14" s="1"/>
  <c r="I7" i="14"/>
  <c r="S7" i="14" s="1"/>
  <c r="H7" i="14"/>
  <c r="R7" i="14" s="1"/>
  <c r="G7" i="14"/>
  <c r="Q7" i="14" s="1"/>
  <c r="F7" i="14"/>
  <c r="P7" i="14" s="1"/>
  <c r="E7" i="14"/>
  <c r="O7" i="14" s="1"/>
  <c r="D7" i="14"/>
  <c r="N7" i="14" s="1"/>
  <c r="C7" i="14"/>
  <c r="M7" i="14" s="1"/>
  <c r="L6" i="14"/>
  <c r="K6" i="14"/>
  <c r="J6" i="14"/>
  <c r="I6" i="14"/>
  <c r="H6" i="14"/>
  <c r="G6" i="14"/>
  <c r="F6" i="14"/>
  <c r="E6" i="14"/>
  <c r="D6" i="14"/>
  <c r="C6" i="14"/>
  <c r="L5" i="14"/>
  <c r="K5" i="14"/>
  <c r="J5" i="14"/>
  <c r="I5" i="14"/>
  <c r="H5" i="14"/>
  <c r="G5" i="14"/>
  <c r="F5" i="14"/>
  <c r="E5" i="14"/>
  <c r="D5" i="14"/>
  <c r="C5" i="14"/>
  <c r="V12" i="14" l="1"/>
  <c r="U12" i="14"/>
  <c r="T12" i="14"/>
  <c r="S12" i="14"/>
  <c r="R12" i="14"/>
  <c r="Q12" i="14"/>
  <c r="P12" i="14"/>
  <c r="O12" i="14"/>
  <c r="N12" i="14"/>
  <c r="V11" i="14"/>
  <c r="U11" i="14"/>
  <c r="T11" i="14"/>
  <c r="S11" i="14"/>
  <c r="R11" i="14"/>
  <c r="Q11" i="14"/>
  <c r="P11" i="14"/>
  <c r="O11" i="14"/>
  <c r="N11" i="14"/>
  <c r="V10" i="14"/>
  <c r="U10" i="14"/>
  <c r="T10" i="14"/>
  <c r="S10" i="14"/>
  <c r="R10" i="14"/>
  <c r="Q10" i="14"/>
  <c r="P10" i="14"/>
  <c r="O10" i="14"/>
  <c r="N10" i="14"/>
  <c r="V9" i="14"/>
  <c r="U9" i="14"/>
  <c r="T9" i="14"/>
  <c r="S9" i="14"/>
  <c r="R9" i="14"/>
  <c r="Q9" i="14"/>
  <c r="P9" i="14"/>
  <c r="O9" i="14"/>
  <c r="N9" i="14"/>
  <c r="V6" i="14"/>
  <c r="U6" i="14"/>
  <c r="T6" i="14"/>
  <c r="S6" i="14"/>
  <c r="R6" i="14"/>
  <c r="Q6" i="14"/>
  <c r="P6" i="14"/>
  <c r="O6" i="14"/>
  <c r="N6" i="14"/>
  <c r="V5" i="14"/>
  <c r="U5" i="14"/>
  <c r="T5" i="14"/>
  <c r="S5" i="14"/>
  <c r="R5" i="14"/>
  <c r="Q5" i="14"/>
  <c r="P5" i="14"/>
  <c r="O5" i="14"/>
  <c r="N5" i="14"/>
  <c r="M12" i="14"/>
  <c r="M11" i="14"/>
  <c r="M10" i="14"/>
  <c r="M9" i="14"/>
  <c r="M6" i="14"/>
  <c r="M5" i="14"/>
  <c r="M2" i="14"/>
  <c r="N2" i="14"/>
  <c r="O2" i="14"/>
  <c r="P2" i="14"/>
  <c r="Q2" i="14"/>
  <c r="R2" i="14"/>
  <c r="S2" i="14"/>
  <c r="T2" i="14"/>
  <c r="U2" i="14"/>
  <c r="V2" i="14"/>
  <c r="C2" i="14"/>
  <c r="D2" i="14"/>
  <c r="E2" i="14"/>
  <c r="F2" i="14"/>
  <c r="G2" i="14"/>
  <c r="H2" i="14"/>
  <c r="I2" i="14"/>
  <c r="J2" i="14"/>
  <c r="K2" i="14"/>
  <c r="L2" i="14"/>
  <c r="D14" i="14" l="1"/>
  <c r="D8" i="14"/>
  <c r="N8" i="14" s="1"/>
  <c r="D3" i="14"/>
  <c r="N3" i="14" s="1"/>
  <c r="D15" i="14"/>
  <c r="D17" i="14"/>
  <c r="D19" i="14"/>
  <c r="D13" i="14"/>
  <c r="D4" i="14"/>
  <c r="N4" i="14" s="1"/>
  <c r="D18" i="14"/>
  <c r="D16" i="14"/>
  <c r="G14" i="14"/>
  <c r="G15" i="14"/>
  <c r="G17" i="14"/>
  <c r="G19" i="14"/>
  <c r="G8" i="14"/>
  <c r="Q8" i="14" s="1"/>
  <c r="G16" i="14"/>
  <c r="G18" i="14"/>
  <c r="G4" i="14"/>
  <c r="Q4" i="14" s="1"/>
  <c r="G3" i="14"/>
  <c r="Q3" i="14" s="1"/>
  <c r="G13" i="14"/>
  <c r="C14" i="14"/>
  <c r="C15" i="14"/>
  <c r="C17" i="14"/>
  <c r="C19" i="14"/>
  <c r="C8" i="14"/>
  <c r="M8" i="14" s="1"/>
  <c r="C3" i="14"/>
  <c r="M3" i="14" s="1"/>
  <c r="C16" i="14"/>
  <c r="C18" i="14"/>
  <c r="C4" i="14"/>
  <c r="M4" i="14" s="1"/>
  <c r="C13" i="14"/>
  <c r="F14" i="14"/>
  <c r="F13" i="14"/>
  <c r="F16" i="14"/>
  <c r="F18" i="14"/>
  <c r="F4" i="14"/>
  <c r="P4" i="14" s="1"/>
  <c r="F8" i="14"/>
  <c r="P8" i="14" s="1"/>
  <c r="F3" i="14"/>
  <c r="P3" i="14" s="1"/>
  <c r="F15" i="14"/>
  <c r="F17" i="14"/>
  <c r="F19" i="14"/>
  <c r="E14" i="14"/>
  <c r="E16" i="14"/>
  <c r="E18" i="14"/>
  <c r="E4" i="14"/>
  <c r="O4" i="14" s="1"/>
  <c r="E13" i="14"/>
  <c r="E3" i="14"/>
  <c r="O3" i="14" s="1"/>
  <c r="E15" i="14"/>
  <c r="E17" i="14"/>
  <c r="E19" i="14"/>
  <c r="E8" i="14"/>
  <c r="O8" i="14" s="1"/>
  <c r="B1" i="13"/>
  <c r="L14" i="14" l="1"/>
  <c r="L15" i="14"/>
  <c r="L17" i="14"/>
  <c r="L19" i="14"/>
  <c r="L13" i="14"/>
  <c r="L16" i="14"/>
  <c r="L18" i="14"/>
  <c r="L4" i="14"/>
  <c r="V4" i="14" s="1"/>
  <c r="L3" i="14"/>
  <c r="V3" i="14" s="1"/>
  <c r="L8" i="14"/>
  <c r="V8" i="14" s="1"/>
  <c r="H14" i="14"/>
  <c r="H15" i="14"/>
  <c r="H17" i="14"/>
  <c r="H19" i="14"/>
  <c r="H13" i="14"/>
  <c r="H16" i="14"/>
  <c r="H18" i="14"/>
  <c r="H4" i="14"/>
  <c r="R4" i="14" s="1"/>
  <c r="H3" i="14"/>
  <c r="R3" i="14" s="1"/>
  <c r="H8" i="14"/>
  <c r="R8" i="14" s="1"/>
  <c r="K14" i="14"/>
  <c r="K8" i="14"/>
  <c r="U8" i="14" s="1"/>
  <c r="K16" i="14"/>
  <c r="K18" i="14"/>
  <c r="K4" i="14"/>
  <c r="U4" i="14" s="1"/>
  <c r="K13" i="14"/>
  <c r="K3" i="14"/>
  <c r="U3" i="14" s="1"/>
  <c r="K15" i="14"/>
  <c r="K17" i="14"/>
  <c r="K19" i="14"/>
  <c r="J14" i="14"/>
  <c r="J16" i="14"/>
  <c r="J18" i="14"/>
  <c r="J4" i="14"/>
  <c r="T4" i="14" s="1"/>
  <c r="J8" i="14"/>
  <c r="T8" i="14" s="1"/>
  <c r="J3" i="14"/>
  <c r="T3" i="14" s="1"/>
  <c r="J15" i="14"/>
  <c r="J17" i="14"/>
  <c r="J19" i="14"/>
  <c r="J13" i="14"/>
  <c r="I14" i="14"/>
  <c r="I13" i="14"/>
  <c r="I3" i="14"/>
  <c r="S3" i="14" s="1"/>
  <c r="I15" i="14"/>
  <c r="I17" i="14"/>
  <c r="I19" i="14"/>
  <c r="I8" i="14"/>
  <c r="S8" i="14" s="1"/>
  <c r="I4" i="14"/>
  <c r="S4" i="14" s="1"/>
  <c r="I18" i="14"/>
  <c r="I16" i="14"/>
</calcChain>
</file>

<file path=xl/sharedStrings.xml><?xml version="1.0" encoding="utf-8"?>
<sst xmlns="http://schemas.openxmlformats.org/spreadsheetml/2006/main" count="790" uniqueCount="111">
  <si>
    <t>Usability.gov Warnings</t>
  </si>
  <si>
    <t>HTML Validation Issues</t>
  </si>
  <si>
    <t>CSS Validation Issues</t>
  </si>
  <si>
    <t>Section 508 Accessibility Errors</t>
  </si>
  <si>
    <t>ID</t>
  </si>
  <si>
    <t>N/A</t>
  </si>
  <si>
    <t>Latency &amp; Performance Issues (Gtmx) (Count number of D,E,F  in Page Speed And Yslow tabs</t>
  </si>
  <si>
    <t>Objects Loaded (pingdom)</t>
  </si>
  <si>
    <t>Images Loaded (pingdom)</t>
  </si>
  <si>
    <t>External Object Calls (pingdom)</t>
  </si>
  <si>
    <t>Text Color
0 = Red
1-3 = Black
4-5 = Green</t>
  </si>
  <si>
    <t>Uses HTML 5 (yes=100)</t>
  </si>
  <si>
    <t>Use of Flash (no=100)</t>
  </si>
  <si>
    <t>Total # of requests to load page (gtmx)</t>
  </si>
  <si>
    <t>Pingdom 5XX Errors</t>
  </si>
  <si>
    <t>Pingdom 3XX Errors</t>
  </si>
  <si>
    <t>Pingdom Connection Errors</t>
  </si>
  <si>
    <t>Pingdom 4XX Errors</t>
  </si>
  <si>
    <t>URL&gt;&gt;&gt;</t>
  </si>
  <si>
    <t>Number of Bars / Color of Text</t>
  </si>
  <si>
    <t>Average Scores</t>
  </si>
  <si>
    <t>Fill in the companies being scored</t>
  </si>
  <si>
    <t>Fill in the asset being scored (Home Page, Section Page, Product Page, etc.)</t>
  </si>
  <si>
    <t>Fill in the URL being scored</t>
  </si>
  <si>
    <t>Group 6</t>
  </si>
  <si>
    <t>Group 7</t>
  </si>
  <si>
    <t>Group 8</t>
  </si>
  <si>
    <t>Group 9</t>
  </si>
  <si>
    <t>Group 10</t>
  </si>
  <si>
    <t>Group 11</t>
  </si>
  <si>
    <t>Group 12</t>
  </si>
  <si>
    <t>Total page size (KB) Gtmetrix</t>
  </si>
  <si>
    <t>Home</t>
  </si>
  <si>
    <t>Section</t>
  </si>
  <si>
    <t>Category</t>
  </si>
  <si>
    <t>PLP</t>
  </si>
  <si>
    <t>W3C - Critical Failures (use url in column m)</t>
  </si>
  <si>
    <t>W3C - Severe Failures</t>
  </si>
  <si>
    <t>W3C - Medium Failures</t>
  </si>
  <si>
    <t>W3C - Low Failures</t>
  </si>
  <si>
    <r>
      <t>Mobile Compatibility Limitations (</t>
    </r>
    <r>
      <rPr>
        <sz val="9"/>
        <color theme="1"/>
        <rFont val="Calibri"/>
        <family val="2"/>
        <scheme val="minor"/>
      </rPr>
      <t>W3C Critical/Severe</t>
    </r>
    <r>
      <rPr>
        <sz val="11"/>
        <color theme="1"/>
        <rFont val="Calibri"/>
        <family val="2"/>
        <scheme val="minor"/>
      </rPr>
      <t>)</t>
    </r>
  </si>
  <si>
    <t>test_result_id</t>
  </si>
  <si>
    <t>analysis_id</t>
  </si>
  <si>
    <t>test_id</t>
  </si>
  <si>
    <t>resource_id</t>
  </si>
  <si>
    <t>asset_id</t>
  </si>
  <si>
    <t>Level</t>
  </si>
  <si>
    <t>Test Id</t>
  </si>
  <si>
    <t>Test Description</t>
  </si>
  <si>
    <t>Instructions</t>
  </si>
  <si>
    <t>Asset URL</t>
  </si>
  <si>
    <t>Asset Type</t>
  </si>
  <si>
    <t>Result</t>
  </si>
  <si>
    <t>Website Standards Compliance - Website Code HTML Validation Errors</t>
  </si>
  <si>
    <t>[Instructions]1.  Go toÂ http://validator.w3.org/unicorn/
2.  Enter URL in the â€œAddress:â€ box
3.  Click the CHECK button
4.  Scan the page for the text "W3C HTML Validator". If the bar is RED, there are errors. Record the number to the right of theÂ white x inside the red circle. If the line is GREEN, it says "The document has passed the test and there are no errors", enter 0
&lt;img src="http://oi60.tinypic.com/53v591.jpg"&gt;[Guidance][Reference]</t>
  </si>
  <si>
    <t>Website Standards Compliance - Website Code CSS Validation Errors</t>
  </si>
  <si>
    <t>[Instructions]1.  Go toÂ http://validator.w3.org/unicorn/
2.  Enter URL in the â€œAddress:â€ box
3.  Click the CHECK button
4.  Scan the page for the text "W3C CSS Validator". If the bar is RED, there are errors. Record the number to the right of theÂ white x inside the red circle. If the line is GREEN, it says "The document has passed the test and there are no errors", enter 0
&lt;img src="http://oi57.tinypic.com/2co0mf6.jpg"&gt;
Note:  If the above validator tool does not find any CSS Errors or cannot complete the task in finding the CSS Errors, use the following two tools to find the CSS Errors (please only record the errors, NOT warnings)â€¦
http://www.cssportal.com/css-validator/
http://csslint.net/[Guidance][Reference]</t>
  </si>
  <si>
    <t>Website use of Adobe FLASH in mobile site (FLASH objects attempt to load on mobile device)</t>
  </si>
  <si>
    <t>[Instructions]1.  In Firefox browser, go the URL which is being evaluated
2.  Use keyboard shortcut _CTRL + U_ to access source code
3.  Use Keyboard shortcut _CTRL + F_ to search page
4.  Type in: .swf
5.  If this entry exists, enter 0 in SCORE. If the entry is not found in the source code, enter 1
&lt;b&gt;If this entry exists, make sure it is referenced in a call to a file ending in .swf shown in the following examples:&lt;/b&gt;
href="http://download3.vmware.com/media/flv/flv_player_large_700x620.swf?fSub=http://download3.vmware.com/media/flv/cloud_gartner_cuepoints.xml&amp;amp;fError=true"&gt;Gartner: The Journey to Cloud
data="//www.att.com/scripts/foresee_global/foresee-transport.swf"
var so = new SWFObject("http://www2.sfdcstatic.com/assets/swf/youtube_players/yt_player.swf"
&lt;b&gt;But not this exmple:&lt;/b&gt;
" src="/scripts/jquery.swfobject.1-1-1.js"[Guidance][Reference]</t>
  </si>
  <si>
    <t>Website Standards Compliance - Uses HTML5</t>
  </si>
  <si>
    <t>[Instructions]1. In Firefox browser, go the URL which is being evaluated
2. Use keyboard shortcut _CTRL + U_ to access source code
3. Use Keyboard shortcut _CTRL + F_ to search page
4. Type in: __&lt;!DOCTYPE html&gt;__
5. If this entry exists, enter 100 in SCORE. If the entry is not found in the source code, enter 0[Guidance][Reference]</t>
  </si>
  <si>
    <t>Total Page Size GTMETRIX - Website - Home Page - SCORE</t>
  </si>
  <si>
    <t>[Instructions]1.   Go to http://gtmetrix.com
2.  Enter URL in main box and click GO! button
3.  In the SUMMARY section of the resulting page, find the Total Page Size (xxx)
4.  Please just enter a number (such  as 925) with no letters (such as 'KB' or 'MB')
5.  IMPORTANT: if the result is in KB (such as 787KB), just enter 787. If the result is in MB (such as 1.12MB), please multiply that number by 1000 and enter the result (so, 1.12 x 1000 = 1120)
&lt;img src="http://andrewdennis.com/images/research/2-0001.JPG"&gt;[Guidance][Reference]</t>
  </si>
  <si>
    <t>Total Number of Requests to Load Page - Website - Home Page - SCORE</t>
  </si>
  <si>
    <t>[Instructions]1.  Go to http://gtmetrix.com
2.  Enter URL in main box and click the GO! button
3.  In the SUMMARY section of the resulting page, enter the Total Number of Requests (xx)
&lt;img src="http://andrewdennis.com/images/research/2-0001.JPG"&gt;[Guidance][Reference]</t>
  </si>
  <si>
    <t>Website - Asset Health - 3XX Redirecting</t>
  </si>
  <si>
    <t>[Instructions]1. Go to http://tools.pingdom.com/fpt/
2. Enter URL in box and click TEST NOW
3. Click on the "Page Analysis" Tab
4. Look in at the "Server Response Code" box
5. Record the number under __3XX Redirecting__ as  the score
&lt;img src="http://oi58.tinypic.com/2wehyrm.jpg"&gt;[Guidance][Reference]</t>
  </si>
  <si>
    <t>Website - Asset Health - 4XX Error - Not Found</t>
  </si>
  <si>
    <t>[Instructions]1. Go to http://tools.pingdom.com/fpt/
2. Enter URL in box and click TEST NOW
3. Click on the "Page Analysis" Tab
4. Look in at the "Server Response Code" box
5. Record the number under __4XX Client Error__ as  the score
&lt;img src="http://oi58.tinypic.com/2wehyrm.jpg"&gt;[Guidance][Reference]</t>
  </si>
  <si>
    <t>Website - Asset Health - 5XX Error - Server Error</t>
  </si>
  <si>
    <t>[Instructions]1. Go to http://tools.pingdom.com/fpt/
2. Enter URL in box and click TEST NOW
3. Click on the "Page Analysis" tab
4. Look in at the "Server Response Code" box
5. Record the number under &lt;b&gt;5XX Server Error&lt;/b&gt; as  the score
&lt;img src="http://oi58.tinypic.com/2wehyrm.jpg"&gt;[Guidance][Reference]</t>
  </si>
  <si>
    <t>Website - Asset Health - Connection Error - No Response From Server</t>
  </si>
  <si>
    <t>[Instructions]1. Go to http://tools.pingdom.com/fpt/
2. Enter URL in box and click TEST NOW
3. Click on the "Page Analysis" Tab
4. Look in at the "Server Response Code" box
5. Record the number under __Connection Error__ as  the score
&lt;img src="http://oi58.tinypic.com/2wehyrm.jpg"&gt;[Guidance][Reference]</t>
  </si>
  <si>
    <t>Row Labels</t>
  </si>
  <si>
    <t>(blank)</t>
  </si>
  <si>
    <t>Grand Total</t>
  </si>
  <si>
    <t>Column Labels</t>
  </si>
  <si>
    <t>Sum of Result</t>
  </si>
  <si>
    <t>Click these three buttons in order one time each.</t>
  </si>
  <si>
    <t>Telecommunications</t>
  </si>
  <si>
    <t>Xfinity</t>
  </si>
  <si>
    <t>DirecTV</t>
  </si>
  <si>
    <t>Dish Network</t>
  </si>
  <si>
    <t>ATT Uverse</t>
  </si>
  <si>
    <t>Time Warner Cable</t>
  </si>
  <si>
    <t>http://www.xfinity.com/</t>
  </si>
  <si>
    <t>http://www.directv.com/</t>
  </si>
  <si>
    <t>http://www.dish.com/</t>
  </si>
  <si>
    <t>https://www.att.com/shop/tv/u-verse.html</t>
  </si>
  <si>
    <t>https://www.timewarnercable.com/</t>
  </si>
  <si>
    <t>http://www.xfinity.com/corporate/shop/productoverview.html</t>
  </si>
  <si>
    <t>http://www.directv.com/DTVAPP/content/packages/overview?lpos=Header:1</t>
  </si>
  <si>
    <t>https://www.att.com/shop/tv.html#tab4</t>
  </si>
  <si>
    <t>https://www.timewarnercable.com/en/plans-packages/cable-internet.html?cic721</t>
  </si>
  <si>
    <t>http://www.xfinity.com/Corporate/Learn/DigitalCable/digitalcable.html</t>
  </si>
  <si>
    <t>https://www.directv.com/DTVAPP/pepod/configure.jsp?ACM=false&amp;lpos=Header:3#package-section</t>
  </si>
  <si>
    <t>http://www.dish.com/packages/</t>
  </si>
  <si>
    <t>https://www.att.com/shop/bundles/directv-wireless.html</t>
  </si>
  <si>
    <t>http://www.dish.com/hopper/</t>
  </si>
  <si>
    <t>https://www.att.com/shop/tv/directv/wireless-customers.html</t>
  </si>
  <si>
    <t xml:space="preserve"> </t>
  </si>
  <si>
    <t>Mariner Finance</t>
  </si>
  <si>
    <t>One Main Financial</t>
  </si>
  <si>
    <t>Regional Finance</t>
  </si>
  <si>
    <t>Lendmark Financial Services</t>
  </si>
  <si>
    <t>Republic Finance</t>
  </si>
  <si>
    <t>http://republicfinance.com/</t>
  </si>
  <si>
    <t>https://lendmarkfinancial.com/</t>
  </si>
  <si>
    <t>http://regionalfinance.com/home</t>
  </si>
  <si>
    <t>https://www.onemainfinancial.com/</t>
  </si>
  <si>
    <t>https://www.marinerfinance.com/</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</si>
</sst>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sz val="11"/>
      <color rgb="FF000000"/>
      <name val="Calibri"/>
      <family val="2"/>
    </font>
    <font>
      <u/>
      <sz val="11"/>
      <color theme="10"/>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CC"/>
      </patternFill>
    </fill>
    <fill>
      <patternFill patternType="solid">
        <fgColor rgb="FF00B0F0"/>
        <bgColor indexed="64"/>
      </patternFill>
    </fill>
    <fill>
      <patternFill patternType="solid">
        <fgColor theme="4"/>
        <bgColor indexed="64"/>
      </patternFill>
    </fill>
    <fill>
      <patternFill patternType="solid">
        <fgColor theme="1"/>
        <bgColor indexed="64"/>
      </patternFill>
    </fill>
    <fill>
      <patternFill patternType="solid">
        <fgColor theme="5"/>
        <bgColor indexed="64"/>
      </patternFill>
    </fill>
    <fill>
      <patternFill patternType="solid">
        <fgColor theme="8"/>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F0BCF6"/>
        <bgColor indexed="64"/>
      </patternFill>
    </fill>
  </fills>
  <borders count="4">
    <border>
      <left/>
      <right/>
      <top/>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diagonal/>
    </border>
  </borders>
  <cellStyleXfs count="3">
    <xf numFmtId="0" fontId="0" fillId="0" borderId="0"/>
    <xf numFmtId="0" fontId="1" fillId="4" borderId="1" applyNumberFormat="0" applyFont="0" applyAlignment="0" applyProtection="0"/>
    <xf numFmtId="0" fontId="5" fillId="0" borderId="0" applyNumberFormat="0" applyFill="0" applyBorder="0" applyAlignment="0" applyProtection="0"/>
  </cellStyleXfs>
  <cellXfs count="40">
    <xf numFmtId="0" fontId="0" fillId="0" borderId="0" xfId="0"/>
    <xf numFmtId="0" fontId="0" fillId="4" borderId="1" xfId="1" applyFont="1"/>
    <xf numFmtId="0" fontId="0" fillId="0" borderId="0" xfId="0" applyAlignment="1">
      <alignment wrapText="1"/>
    </xf>
    <xf numFmtId="0" fontId="0" fillId="2" borderId="0" xfId="0" applyFill="1" applyAlignment="1">
      <alignment horizontal="left"/>
    </xf>
    <xf numFmtId="0" fontId="0" fillId="3" borderId="0" xfId="0" applyFill="1" applyAlignment="1">
      <alignment horizontal="left"/>
    </xf>
    <xf numFmtId="0" fontId="0" fillId="0" borderId="0" xfId="0" applyAlignment="1"/>
    <xf numFmtId="0" fontId="0" fillId="5" borderId="0" xfId="0" applyFill="1"/>
    <xf numFmtId="0" fontId="2" fillId="6" borderId="0" xfId="0" applyFont="1" applyFill="1" applyAlignment="1">
      <alignment wrapText="1"/>
    </xf>
    <xf numFmtId="0" fontId="0" fillId="2" borderId="0" xfId="0" applyFill="1" applyAlignment="1">
      <alignment horizontal="right" wrapText="1"/>
    </xf>
    <xf numFmtId="0" fontId="0" fillId="7" borderId="0" xfId="0" applyFill="1"/>
    <xf numFmtId="0" fontId="0" fillId="7" borderId="0" xfId="0" applyFill="1" applyAlignment="1">
      <alignment wrapText="1"/>
    </xf>
    <xf numFmtId="0" fontId="0" fillId="10" borderId="1" xfId="1" applyFont="1" applyFill="1"/>
    <xf numFmtId="49" fontId="0" fillId="11" borderId="0" xfId="0" applyNumberFormat="1" applyFill="1"/>
    <xf numFmtId="0" fontId="0" fillId="0" borderId="2" xfId="0" applyBorder="1"/>
    <xf numFmtId="0" fontId="0" fillId="12" borderId="2" xfId="0" applyFill="1" applyBorder="1"/>
    <xf numFmtId="0" fontId="0" fillId="12" borderId="1" xfId="0" applyFill="1" applyBorder="1"/>
    <xf numFmtId="49" fontId="0" fillId="6" borderId="2" xfId="0" applyNumberFormat="1" applyFill="1" applyBorder="1"/>
    <xf numFmtId="0" fontId="0" fillId="11" borderId="2" xfId="0" applyNumberFormat="1" applyFill="1" applyBorder="1"/>
    <xf numFmtId="0" fontId="0" fillId="2" borderId="0" xfId="0" applyFill="1" applyAlignment="1">
      <alignment wrapText="1"/>
    </xf>
    <xf numFmtId="0" fontId="0" fillId="13" borderId="0" xfId="0" applyFill="1" applyAlignment="1">
      <alignment wrapText="1"/>
    </xf>
    <xf numFmtId="0" fontId="0" fillId="13" borderId="1" xfId="1" applyFont="1" applyFill="1"/>
    <xf numFmtId="0" fontId="0" fillId="5" borderId="0" xfId="0" applyFill="1" applyAlignment="1">
      <alignment horizontal="left"/>
    </xf>
    <xf numFmtId="0" fontId="0" fillId="0" borderId="0" xfId="0" pivotButton="1"/>
    <xf numFmtId="0" fontId="0" fillId="0" borderId="0" xfId="0" applyAlignment="1">
      <alignment horizontal="left"/>
    </xf>
    <xf numFmtId="0" fontId="0" fillId="0" borderId="0" xfId="0" applyNumberFormat="1"/>
    <xf numFmtId="0" fontId="0" fillId="7" borderId="0" xfId="0" applyFill="1" applyAlignment="1">
      <alignment horizontal="left"/>
    </xf>
    <xf numFmtId="1" fontId="0" fillId="4" borderId="1" xfId="1" applyNumberFormat="1" applyFont="1"/>
    <xf numFmtId="0" fontId="5" fillId="12" borderId="1" xfId="2" applyFill="1" applyBorder="1"/>
    <xf numFmtId="0" fontId="2" fillId="6" borderId="0" xfId="0" applyFont="1" applyFill="1" applyAlignment="1">
      <alignment wrapText="1"/>
    </xf>
    <xf numFmtId="49" fontId="0" fillId="11" borderId="1" xfId="0" applyNumberFormat="1" applyFill="1" applyBorder="1" applyAlignment="1">
      <alignment horizontal="center"/>
    </xf>
    <xf numFmtId="0" fontId="0" fillId="4" borderId="3" xfId="1" applyFont="1" applyBorder="1"/>
    <xf numFmtId="0" fontId="0" fillId="0" borderId="0" xfId="0" applyBorder="1"/>
    <xf numFmtId="0" fontId="0" fillId="7" borderId="0" xfId="0" applyFill="1" applyBorder="1"/>
    <xf numFmtId="0" fontId="0" fillId="0" borderId="0" xfId="0" applyBorder="1" applyAlignment="1">
      <alignment horizontal="left"/>
    </xf>
    <xf numFmtId="0" fontId="0" fillId="0" borderId="0" xfId="0" applyBorder="1" applyAlignment="1">
      <alignment wrapText="1"/>
    </xf>
    <xf numFmtId="0" fontId="0" fillId="6" borderId="0" xfId="0" applyFill="1" applyAlignment="1">
      <alignment horizontal="left"/>
    </xf>
    <xf numFmtId="0" fontId="0" fillId="12" borderId="0" xfId="0" applyFill="1" applyAlignment="1">
      <alignment horizontal="left"/>
    </xf>
    <xf numFmtId="0" fontId="0" fillId="11" borderId="0" xfId="0" applyFill="1" applyAlignment="1">
      <alignment horizontal="left"/>
    </xf>
    <xf numFmtId="0" fontId="0" fillId="9" borderId="0" xfId="0" applyFill="1" applyAlignment="1">
      <alignment horizontal="center"/>
    </xf>
    <xf numFmtId="0" fontId="0" fillId="8" borderId="0" xfId="0" applyFill="1" applyAlignment="1">
      <alignment horizontal="center"/>
    </xf>
  </cellXfs>
  <cellStyles count="3">
    <cellStyle name="Hyperlink" xfId="2" builtinId="8"/>
    <cellStyle name="Normal" xfId="0" builtinId="0"/>
    <cellStyle name="Note" xfId="1" builtinId="10"/>
  </cellStyles>
  <dxfs count="37">
    <dxf>
      <numFmt numFmtId="164" formatCode=";;;"/>
    </dxf>
    <dxf>
      <numFmt numFmtId="164" formatCode=";;;"/>
    </dxf>
    <dxf>
      <numFmt numFmtId="164" formatCode=";;;"/>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numFmt numFmtId="164" formatCode=";;;"/>
    </dxf>
    <dxf>
      <numFmt numFmtId="164" formatCode=";;;"/>
    </dxf>
    <dxf>
      <font>
        <color rgb="FFFF0000"/>
      </font>
    </dxf>
    <dxf>
      <font>
        <color rgb="FF00B050"/>
      </font>
    </dxf>
    <dxf>
      <numFmt numFmtId="164" formatCode=";;;"/>
    </dxf>
    <dxf>
      <numFmt numFmtId="164" formatCode=";;;"/>
    </dxf>
    <dxf>
      <numFmt numFmtId="164" formatCode=";;;"/>
    </dxf>
    <dxf>
      <font>
        <color rgb="FFFF0000"/>
      </font>
    </dxf>
    <dxf>
      <font>
        <color rgb="FF00B050"/>
      </font>
    </dxf>
    <dxf>
      <font>
        <color rgb="FFFF0000"/>
      </font>
    </dxf>
    <dxf>
      <font>
        <color rgb="FF00B050"/>
      </font>
    </dxf>
    <dxf>
      <numFmt numFmtId="164" formatCode=";;;"/>
    </dxf>
    <dxf>
      <numFmt numFmtId="164" formatCode=";;;"/>
    </dxf>
    <dxf>
      <numFmt numFmtId="164" formatCode=";;;"/>
    </dxf>
    <dxf>
      <numFmt numFmtId="164" formatCode=";;;"/>
    </dxf>
    <dxf>
      <numFmt numFmtId="164" formatCode=";;;"/>
    </dxf>
    <dxf>
      <numFmt numFmtId="164" formatCode=";;;"/>
    </dxf>
    <dxf>
      <numFmt numFmtId="164" formatCode=";;;"/>
    </dxf>
  </dxfs>
  <tableStyles count="0" defaultTableStyle="TableStyleMedium2" defaultPivotStyle="PivotStyleLight16"/>
  <colors>
    <mruColors>
      <color rgb="FFEF5611"/>
      <color rgb="FF5DD5FF"/>
      <color rgb="FFF0BC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457200</xdr:colOff>
          <xdr:row>4</xdr:row>
          <xdr:rowOff>104775</xdr:rowOff>
        </xdr:from>
        <xdr:to>
          <xdr:col>9</xdr:col>
          <xdr:colOff>95250</xdr:colOff>
          <xdr:row>5</xdr:row>
          <xdr:rowOff>171450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466725</xdr:colOff>
          <xdr:row>1</xdr:row>
          <xdr:rowOff>66675</xdr:rowOff>
        </xdr:from>
        <xdr:to>
          <xdr:col>9</xdr:col>
          <xdr:colOff>104775</xdr:colOff>
          <xdr:row>3</xdr:row>
          <xdr:rowOff>133350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476250</xdr:colOff>
          <xdr:row>6</xdr:row>
          <xdr:rowOff>152400</xdr:rowOff>
        </xdr:from>
        <xdr:to>
          <xdr:col>9</xdr:col>
          <xdr:colOff>114300</xdr:colOff>
          <xdr:row>6</xdr:row>
          <xdr:rowOff>600075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3</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at DiSarro" refreshedDate="42284.589795023145" createdVersion="5" refreshedVersion="6" minRefreshableVersion="3" recordCount="231">
  <cacheSource type="worksheet">
    <worksheetSource ref="A1:G281" sheet="Data"/>
  </cacheSource>
  <cacheFields count="7">
    <cacheField name="Asset URL" numFmtId="0">
      <sharedItems containsBlank="1" count="16">
        <s v="http://www.directv.com/"/>
        <s v="http://www.directv.com/DTVAPP/content/packages/overview?lpos=Header:1"/>
        <s v="http://www.dish.com/"/>
        <s v="http://www.dish.com/hopper/"/>
        <s v="http://www.dish.com/packages/"/>
        <s v="http://www.xfinity.com/"/>
        <s v="http://www.xfinity.com/Corporate/Learn/DigitalCable/digitalcable.html"/>
        <s v="http://www.xfinity.com/corporate/shop/productoverview.html"/>
        <s v="https://www.att.com/shop/bundles/directv-wireless.html"/>
        <s v="https://www.att.com/shop/tv.html#tab4"/>
        <s v="https://www.att.com/shop/tv/directv/wireless-customers.html"/>
        <s v="https://www.att.com/shop/tv/u-verse.html"/>
        <s v="https://www.directv.com/DTVAPP/pepod/configure.jsp?ACM=false&amp;lpos=Header:3#package-section"/>
        <s v="https://www.timewarnercable.com/"/>
        <s v="https://www.timewarnercable.com/en/plans-packages/cable-internet.html?cic721"/>
        <m/>
      </sharedItems>
    </cacheField>
    <cacheField name="test_id" numFmtId="0">
      <sharedItems containsString="0" containsBlank="1" containsNumber="1" containsInteger="1" minValue="47" maxValue="312" count="11">
        <n v="47"/>
        <n v="49"/>
        <n v="51"/>
        <n v="53"/>
        <n v="94"/>
        <n v="95"/>
        <n v="309"/>
        <n v="310"/>
        <n v="311"/>
        <n v="312"/>
        <m/>
      </sharedItems>
    </cacheField>
    <cacheField name="Test Id" numFmtId="0">
      <sharedItems containsString="0" containsBlank="1" containsNumber="1" containsInteger="1" minValue="47" maxValue="312"/>
    </cacheField>
    <cacheField name="Test Description" numFmtId="0">
      <sharedItems containsBlank="1"/>
    </cacheField>
    <cacheField name="Instructions" numFmtId="0">
      <sharedItems containsBlank="1" longText="1"/>
    </cacheField>
    <cacheField name="Asset Type" numFmtId="0">
      <sharedItems containsBlank="1"/>
    </cacheField>
    <cacheField name="Result" numFmtId="0">
      <sharedItems containsString="0" containsBlank="1" containsNumber="1" containsInteger="1" minValue="0" maxValue="2073" count="66">
        <n v="14"/>
        <n v="18"/>
        <n v="85"/>
        <n v="353"/>
        <n v="37"/>
        <n v="155"/>
        <n v="31"/>
        <n v="115"/>
        <n v="0"/>
        <n v="84"/>
        <n v="180"/>
        <n v="1"/>
        <n v="4"/>
        <n v="469"/>
        <n v="476"/>
        <n v="39"/>
        <n v="79"/>
        <n v="61"/>
        <n v="277"/>
        <n v="202"/>
        <n v="413"/>
        <n v="245"/>
        <n v="243"/>
        <n v="296"/>
        <n v="643"/>
        <n v="480"/>
        <n v="478"/>
        <m/>
        <n v="100"/>
        <n v="2042"/>
        <n v="1878"/>
        <n v="510"/>
        <n v="2073"/>
        <n v="1087"/>
        <n v="961"/>
        <n v="1400"/>
        <n v="1111"/>
        <n v="1114"/>
        <n v="1383"/>
        <n v="1424"/>
        <n v="1073"/>
        <n v="1197"/>
        <n v="1161"/>
        <n v="767"/>
        <n v="190"/>
        <n v="152"/>
        <n v="96"/>
        <n v="134"/>
        <n v="128"/>
        <n v="125"/>
        <n v="70"/>
        <n v="99"/>
        <n v="88"/>
        <n v="130"/>
        <n v="132"/>
        <n v="110"/>
        <n v="44"/>
        <n v="48"/>
        <n v="27"/>
        <n v="34"/>
        <n v="25"/>
        <n v="12"/>
        <n v="11"/>
        <n v="17"/>
        <n v="15"/>
        <n v="52"/>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1">
  <r>
    <x v="0"/>
    <x v="0"/>
    <n v="47"/>
    <s v="Website Standards Compliance - Website Code HTML Validation Errors"/>
    <s v="[Instructions]1.  Go toÂ http://validator.w3.org/unicorn/_x000a_2.  Enter URL in the â€œAddress:â€ box_x000a_3.  Click the CHECK button_x000a_4.  Scan the page for the text &quot;W3C HTML Validator&quot;. If the bar is RED, there are errors. Record the number to the right of theÂ white x inside the red circle. If the line is GREEN, it says &quot;The document has passed the test and there are no errors&quot;, enter 0_x000a__x000a__x000a_&lt;img src=&quot;http://oi60.tinypic.com/53v591.jpg&quot;&gt;[Guidance][Reference]"/>
    <s v="Home"/>
    <x v="0"/>
  </r>
  <r>
    <x v="1"/>
    <x v="0"/>
    <n v="47"/>
    <m/>
    <m/>
    <s v="Section"/>
    <x v="0"/>
  </r>
  <r>
    <x v="2"/>
    <x v="0"/>
    <n v="47"/>
    <m/>
    <m/>
    <m/>
    <x v="1"/>
  </r>
  <r>
    <x v="3"/>
    <x v="0"/>
    <n v="47"/>
    <m/>
    <m/>
    <s v="PLP"/>
    <x v="2"/>
  </r>
  <r>
    <x v="4"/>
    <x v="0"/>
    <n v="47"/>
    <m/>
    <m/>
    <s v="Category"/>
    <x v="3"/>
  </r>
  <r>
    <x v="5"/>
    <x v="0"/>
    <n v="47"/>
    <m/>
    <m/>
    <s v="Home"/>
    <x v="4"/>
  </r>
  <r>
    <x v="6"/>
    <x v="0"/>
    <n v="47"/>
    <m/>
    <m/>
    <m/>
    <x v="5"/>
  </r>
  <r>
    <x v="7"/>
    <x v="0"/>
    <n v="47"/>
    <m/>
    <m/>
    <s v="Section"/>
    <x v="6"/>
  </r>
  <r>
    <x v="8"/>
    <x v="0"/>
    <n v="47"/>
    <m/>
    <m/>
    <s v="Category"/>
    <x v="7"/>
  </r>
  <r>
    <x v="9"/>
    <x v="0"/>
    <n v="47"/>
    <m/>
    <m/>
    <s v="Section"/>
    <x v="8"/>
  </r>
  <r>
    <x v="10"/>
    <x v="0"/>
    <n v="47"/>
    <m/>
    <m/>
    <s v="PLP"/>
    <x v="9"/>
  </r>
  <r>
    <x v="11"/>
    <x v="0"/>
    <n v="47"/>
    <m/>
    <m/>
    <s v="Home"/>
    <x v="10"/>
  </r>
  <r>
    <x v="12"/>
    <x v="0"/>
    <n v="47"/>
    <m/>
    <m/>
    <m/>
    <x v="11"/>
  </r>
  <r>
    <x v="13"/>
    <x v="0"/>
    <n v="47"/>
    <m/>
    <m/>
    <s v="Home"/>
    <x v="12"/>
  </r>
  <r>
    <x v="14"/>
    <x v="0"/>
    <n v="47"/>
    <m/>
    <m/>
    <m/>
    <x v="12"/>
  </r>
  <r>
    <x v="0"/>
    <x v="1"/>
    <n v="49"/>
    <s v="Website Standards Compliance - Website Code CSS Validation Errors"/>
    <s v="[Instructions]1.  Go toÂ http://validator.w3.org/unicorn/_x000a_2.  Enter URL in the â€œAddress:â€ box_x000a_3.  Click the CHECK button_x000a_4.  Scan the page for the text &quot;W3C CSS Validator&quot;. If the bar is RED, there are errors. Record the number to the right of theÂ white x inside the red circle. If the line is GREEN, it says &quot;The document has passed the test and there are no errors&quot;, enter 0_x000a__x000a__x000a_&lt;img src=&quot;http://oi57.tinypic.com/2co0mf6.jpg&quot;&gt;_x000a__x000a_Note:  If the above validator tool does not find any CSS Errors or cannot complete the task in finding the CSS Errors, use the following two tools to find the CSS Errors (please only record the errors, NOT warnings)â€¦_x000a__x000a__x000a_http://www.cssportal.com/css-validator/_x000a_http://csslint.net/[Guidance][Reference]"/>
    <s v="Home"/>
    <x v="13"/>
  </r>
  <r>
    <x v="1"/>
    <x v="1"/>
    <n v="49"/>
    <m/>
    <m/>
    <s v="Section"/>
    <x v="14"/>
  </r>
  <r>
    <x v="2"/>
    <x v="1"/>
    <n v="49"/>
    <m/>
    <m/>
    <m/>
    <x v="15"/>
  </r>
  <r>
    <x v="3"/>
    <x v="1"/>
    <n v="49"/>
    <m/>
    <m/>
    <s v="PLP"/>
    <x v="16"/>
  </r>
  <r>
    <x v="4"/>
    <x v="1"/>
    <n v="49"/>
    <m/>
    <m/>
    <s v="Category"/>
    <x v="17"/>
  </r>
  <r>
    <x v="5"/>
    <x v="1"/>
    <n v="49"/>
    <m/>
    <m/>
    <s v="Home"/>
    <x v="18"/>
  </r>
  <r>
    <x v="6"/>
    <x v="1"/>
    <n v="49"/>
    <m/>
    <m/>
    <m/>
    <x v="19"/>
  </r>
  <r>
    <x v="7"/>
    <x v="1"/>
    <n v="49"/>
    <m/>
    <m/>
    <s v="Section"/>
    <x v="20"/>
  </r>
  <r>
    <x v="8"/>
    <x v="1"/>
    <n v="49"/>
    <m/>
    <m/>
    <s v="Category"/>
    <x v="21"/>
  </r>
  <r>
    <x v="9"/>
    <x v="1"/>
    <n v="49"/>
    <m/>
    <m/>
    <s v="Section"/>
    <x v="22"/>
  </r>
  <r>
    <x v="10"/>
    <x v="1"/>
    <n v="49"/>
    <m/>
    <m/>
    <s v="PLP"/>
    <x v="22"/>
  </r>
  <r>
    <x v="11"/>
    <x v="1"/>
    <n v="49"/>
    <m/>
    <m/>
    <s v="Home"/>
    <x v="23"/>
  </r>
  <r>
    <x v="12"/>
    <x v="1"/>
    <n v="49"/>
    <m/>
    <m/>
    <m/>
    <x v="24"/>
  </r>
  <r>
    <x v="13"/>
    <x v="1"/>
    <n v="49"/>
    <m/>
    <m/>
    <s v="Home"/>
    <x v="25"/>
  </r>
  <r>
    <x v="14"/>
    <x v="1"/>
    <n v="49"/>
    <m/>
    <m/>
    <m/>
    <x v="26"/>
  </r>
  <r>
    <x v="0"/>
    <x v="2"/>
    <n v="51"/>
    <s v="Website use of Adobe FLASH in mobile site (FLASH objects attempt to load on mobile device)"/>
    <s v="[Instructions]1.  In Firefox browser, go the URL which is being evaluated_x000a_2.  Use keyboard shortcut _CTRL + U_ to access source code_x000a_3.  Use Keyboard shortcut _CTRL + F_ to search page_x000a_4.  Type in: .swf_x000a_5.  If this entry exists, enter 0 in SCORE. If the entry is not found in the source code, enter 1_x000a__x000a_&lt;b&gt;If this entry exists, make sure it is referenced in a call to a file ending in .swf shown in the following examples:&lt;/b&gt;_x000a__x0009__x000a_href=&quot;http://download3.vmware.com/media/flv/flv_player_large_700x620.swf?fSub=http://download3.vmware.com/media/flv/cloud_gartner_cuepoints.xml&amp;amp;fError=true&quot;&gt;Gartner: The Journey to Cloud_x000a__x000a_data=&quot;//www.att.com/scripts/foresee_global/foresee-transport.swf&quot;_x000a__x000a_var so = new SWFObject(&quot;http://www2.sfdcstatic.com/assets/swf/youtube_players/yt_player.swf&quot;_x000a__x000a_&lt;b&gt;But not this exmple:&lt;/b&gt;_x000a__x000a_&quot; src=&quot;/scripts/jquery.swfobject.1-1-1.js&quot;[Guidance][Reference]"/>
    <s v="Home"/>
    <x v="27"/>
  </r>
  <r>
    <x v="1"/>
    <x v="2"/>
    <n v="51"/>
    <m/>
    <m/>
    <s v="Section"/>
    <x v="27"/>
  </r>
  <r>
    <x v="2"/>
    <x v="2"/>
    <n v="51"/>
    <m/>
    <m/>
    <m/>
    <x v="27"/>
  </r>
  <r>
    <x v="3"/>
    <x v="2"/>
    <n v="51"/>
    <m/>
    <m/>
    <s v="PLP"/>
    <x v="27"/>
  </r>
  <r>
    <x v="4"/>
    <x v="2"/>
    <n v="51"/>
    <m/>
    <m/>
    <s v="Category"/>
    <x v="27"/>
  </r>
  <r>
    <x v="5"/>
    <x v="2"/>
    <n v="51"/>
    <m/>
    <m/>
    <s v="Home"/>
    <x v="27"/>
  </r>
  <r>
    <x v="6"/>
    <x v="2"/>
    <n v="51"/>
    <m/>
    <m/>
    <m/>
    <x v="27"/>
  </r>
  <r>
    <x v="7"/>
    <x v="2"/>
    <n v="51"/>
    <m/>
    <m/>
    <s v="Section"/>
    <x v="27"/>
  </r>
  <r>
    <x v="8"/>
    <x v="2"/>
    <n v="51"/>
    <m/>
    <m/>
    <s v="Category"/>
    <x v="27"/>
  </r>
  <r>
    <x v="9"/>
    <x v="2"/>
    <n v="51"/>
    <m/>
    <m/>
    <s v="Section"/>
    <x v="27"/>
  </r>
  <r>
    <x v="10"/>
    <x v="2"/>
    <n v="51"/>
    <m/>
    <m/>
    <s v="PLP"/>
    <x v="27"/>
  </r>
  <r>
    <x v="11"/>
    <x v="2"/>
    <n v="51"/>
    <m/>
    <m/>
    <s v="Home"/>
    <x v="27"/>
  </r>
  <r>
    <x v="12"/>
    <x v="2"/>
    <n v="51"/>
    <m/>
    <m/>
    <m/>
    <x v="27"/>
  </r>
  <r>
    <x v="13"/>
    <x v="2"/>
    <n v="51"/>
    <m/>
    <m/>
    <s v="Home"/>
    <x v="27"/>
  </r>
  <r>
    <x v="14"/>
    <x v="2"/>
    <n v="51"/>
    <m/>
    <m/>
    <m/>
    <x v="27"/>
  </r>
  <r>
    <x v="0"/>
    <x v="3"/>
    <n v="53"/>
    <s v="Website Standards Compliance - Uses HTML5"/>
    <s v="[Instructions]1. In Firefox browser, go the URL which is being evaluated_x000a_2. Use keyboard shortcut _CTRL + U_ to access source code_x000a_3. Use Keyboard shortcut _CTRL + F_ to search page_x000a_4. Type in: __&lt;!DOCTYPE html&gt;___x000a_5. If this entry exists, enter 100 in SCORE. If the entry is not found in the source code, enter 0[Guidance][Reference]"/>
    <s v="Home"/>
    <x v="28"/>
  </r>
  <r>
    <x v="1"/>
    <x v="3"/>
    <n v="53"/>
    <m/>
    <m/>
    <s v="Section"/>
    <x v="28"/>
  </r>
  <r>
    <x v="2"/>
    <x v="3"/>
    <n v="53"/>
    <m/>
    <m/>
    <m/>
    <x v="28"/>
  </r>
  <r>
    <x v="3"/>
    <x v="3"/>
    <n v="53"/>
    <m/>
    <m/>
    <s v="PLP"/>
    <x v="28"/>
  </r>
  <r>
    <x v="4"/>
    <x v="3"/>
    <n v="53"/>
    <m/>
    <m/>
    <s v="Category"/>
    <x v="28"/>
  </r>
  <r>
    <x v="5"/>
    <x v="3"/>
    <n v="53"/>
    <m/>
    <m/>
    <s v="Home"/>
    <x v="28"/>
  </r>
  <r>
    <x v="6"/>
    <x v="3"/>
    <n v="53"/>
    <m/>
    <m/>
    <m/>
    <x v="28"/>
  </r>
  <r>
    <x v="7"/>
    <x v="3"/>
    <n v="53"/>
    <m/>
    <m/>
    <s v="Section"/>
    <x v="28"/>
  </r>
  <r>
    <x v="8"/>
    <x v="3"/>
    <n v="53"/>
    <m/>
    <m/>
    <s v="Category"/>
    <x v="28"/>
  </r>
  <r>
    <x v="9"/>
    <x v="3"/>
    <n v="53"/>
    <m/>
    <m/>
    <s v="Section"/>
    <x v="28"/>
  </r>
  <r>
    <x v="10"/>
    <x v="3"/>
    <n v="53"/>
    <m/>
    <m/>
    <s v="PLP"/>
    <x v="28"/>
  </r>
  <r>
    <x v="11"/>
    <x v="3"/>
    <n v="53"/>
    <m/>
    <m/>
    <s v="Home"/>
    <x v="28"/>
  </r>
  <r>
    <x v="12"/>
    <x v="3"/>
    <n v="53"/>
    <m/>
    <m/>
    <m/>
    <x v="28"/>
  </r>
  <r>
    <x v="13"/>
    <x v="3"/>
    <n v="53"/>
    <m/>
    <m/>
    <s v="Home"/>
    <x v="28"/>
  </r>
  <r>
    <x v="14"/>
    <x v="3"/>
    <n v="53"/>
    <m/>
    <m/>
    <m/>
    <x v="28"/>
  </r>
  <r>
    <x v="0"/>
    <x v="4"/>
    <n v="94"/>
    <s v="Total Page Size GTMETRIX - Website - Home Page - SCORE"/>
    <s v="[Instructions]1.   Go to http://gtmetrix.com_x000a_2.  Enter URL in main box and click GO! button_x000a_3.  In the SUMMARY section of the resulting page, find the Total Page Size (xxx)_x000a_4.  Please just enter a number (such  as 925) with no letters (such as 'KB' or 'MB')_x000a_5.  IMPORTANT: if the result is in KB (such as 787KB), just enter 787. If the result is in MB (such as 1.12MB), please multiply that number by 1000 and enter the result (so, 1.12 x 1000 = 1120)_x000a__x000a_&lt;img src=&quot;http://andrewdennis.com/images/research/2-0001.JPG&quot;&gt;[Guidance][Reference]"/>
    <s v="Home"/>
    <x v="29"/>
  </r>
  <r>
    <x v="1"/>
    <x v="4"/>
    <n v="94"/>
    <m/>
    <m/>
    <s v="Section"/>
    <x v="30"/>
  </r>
  <r>
    <x v="2"/>
    <x v="4"/>
    <n v="94"/>
    <m/>
    <m/>
    <m/>
    <x v="31"/>
  </r>
  <r>
    <x v="3"/>
    <x v="4"/>
    <n v="94"/>
    <m/>
    <m/>
    <s v="PLP"/>
    <x v="32"/>
  </r>
  <r>
    <x v="4"/>
    <x v="4"/>
    <n v="94"/>
    <m/>
    <m/>
    <s v="Category"/>
    <x v="33"/>
  </r>
  <r>
    <x v="5"/>
    <x v="4"/>
    <n v="94"/>
    <m/>
    <m/>
    <s v="Home"/>
    <x v="34"/>
  </r>
  <r>
    <x v="6"/>
    <x v="4"/>
    <n v="94"/>
    <m/>
    <m/>
    <m/>
    <x v="35"/>
  </r>
  <r>
    <x v="7"/>
    <x v="4"/>
    <n v="94"/>
    <m/>
    <m/>
    <s v="Section"/>
    <x v="36"/>
  </r>
  <r>
    <x v="8"/>
    <x v="4"/>
    <n v="94"/>
    <m/>
    <m/>
    <s v="Category"/>
    <x v="37"/>
  </r>
  <r>
    <x v="9"/>
    <x v="4"/>
    <n v="94"/>
    <m/>
    <m/>
    <s v="Section"/>
    <x v="38"/>
  </r>
  <r>
    <x v="10"/>
    <x v="4"/>
    <n v="94"/>
    <m/>
    <m/>
    <s v="PLP"/>
    <x v="39"/>
  </r>
  <r>
    <x v="11"/>
    <x v="4"/>
    <n v="94"/>
    <m/>
    <m/>
    <s v="Home"/>
    <x v="40"/>
  </r>
  <r>
    <x v="12"/>
    <x v="4"/>
    <n v="94"/>
    <m/>
    <m/>
    <m/>
    <x v="41"/>
  </r>
  <r>
    <x v="13"/>
    <x v="4"/>
    <n v="94"/>
    <m/>
    <m/>
    <s v="Home"/>
    <x v="42"/>
  </r>
  <r>
    <x v="14"/>
    <x v="4"/>
    <n v="94"/>
    <m/>
    <m/>
    <m/>
    <x v="43"/>
  </r>
  <r>
    <x v="0"/>
    <x v="5"/>
    <n v="95"/>
    <s v="Total Number of Requests to Load Page - Website - Home Page - SCORE"/>
    <s v="[Instructions]1.  Go to http://gtmetrix.com_x000a_2.  Enter URL in main box and click the GO! button_x000a_3.  In the SUMMARY section of the resulting page, enter the Total Number of Requests (xx)_x000a__x000a__x000a_&lt;img src=&quot;http://andrewdennis.com/images/research/2-0001.JPG&quot;&gt;[Guidance][Reference]"/>
    <s v="Home"/>
    <x v="44"/>
  </r>
  <r>
    <x v="1"/>
    <x v="5"/>
    <n v="95"/>
    <m/>
    <m/>
    <s v="Section"/>
    <x v="45"/>
  </r>
  <r>
    <x v="2"/>
    <x v="5"/>
    <n v="95"/>
    <m/>
    <m/>
    <m/>
    <x v="46"/>
  </r>
  <r>
    <x v="3"/>
    <x v="5"/>
    <n v="95"/>
    <m/>
    <m/>
    <s v="PLP"/>
    <x v="47"/>
  </r>
  <r>
    <x v="4"/>
    <x v="5"/>
    <n v="95"/>
    <m/>
    <m/>
    <s v="Category"/>
    <x v="48"/>
  </r>
  <r>
    <x v="5"/>
    <x v="5"/>
    <n v="95"/>
    <m/>
    <m/>
    <s v="Home"/>
    <x v="7"/>
  </r>
  <r>
    <x v="6"/>
    <x v="5"/>
    <n v="95"/>
    <m/>
    <m/>
    <m/>
    <x v="49"/>
  </r>
  <r>
    <x v="7"/>
    <x v="5"/>
    <n v="95"/>
    <m/>
    <m/>
    <s v="Section"/>
    <x v="28"/>
  </r>
  <r>
    <x v="8"/>
    <x v="5"/>
    <n v="95"/>
    <m/>
    <m/>
    <s v="Category"/>
    <x v="50"/>
  </r>
  <r>
    <x v="9"/>
    <x v="5"/>
    <n v="95"/>
    <m/>
    <m/>
    <s v="Section"/>
    <x v="9"/>
  </r>
  <r>
    <x v="10"/>
    <x v="5"/>
    <n v="95"/>
    <m/>
    <m/>
    <s v="PLP"/>
    <x v="51"/>
  </r>
  <r>
    <x v="11"/>
    <x v="5"/>
    <n v="95"/>
    <m/>
    <m/>
    <s v="Home"/>
    <x v="52"/>
  </r>
  <r>
    <x v="12"/>
    <x v="5"/>
    <n v="95"/>
    <m/>
    <m/>
    <m/>
    <x v="53"/>
  </r>
  <r>
    <x v="13"/>
    <x v="5"/>
    <n v="95"/>
    <m/>
    <m/>
    <s v="Home"/>
    <x v="54"/>
  </r>
  <r>
    <x v="14"/>
    <x v="5"/>
    <n v="95"/>
    <m/>
    <m/>
    <m/>
    <x v="55"/>
  </r>
  <r>
    <x v="0"/>
    <x v="6"/>
    <n v="309"/>
    <s v="Website - Asset Health - 3XX Redirecting"/>
    <s v="[Instructions]1. Go to http://tools.pingdom.com/fpt/_x000a_2. Enter URL in box and click TEST NOW_x000a_3. Click on the &quot;Page Analysis&quot; Tab_x000a_4. Look in at the &quot;Server Response Code&quot; box_x000a_5. Record the number under __3XX Redirecting__ as  the score_x000a__x000a_&lt;img src=&quot;http://oi58.tinypic.com/2wehyrm.jpg&quot;&gt;[Guidance][Reference]"/>
    <s v="Home"/>
    <x v="56"/>
  </r>
  <r>
    <x v="1"/>
    <x v="6"/>
    <n v="309"/>
    <m/>
    <m/>
    <s v="Section"/>
    <x v="1"/>
  </r>
  <r>
    <x v="2"/>
    <x v="6"/>
    <n v="309"/>
    <m/>
    <m/>
    <m/>
    <x v="57"/>
  </r>
  <r>
    <x v="3"/>
    <x v="6"/>
    <n v="309"/>
    <m/>
    <m/>
    <s v="PLP"/>
    <x v="58"/>
  </r>
  <r>
    <x v="4"/>
    <x v="6"/>
    <n v="309"/>
    <m/>
    <m/>
    <s v="Category"/>
    <x v="59"/>
  </r>
  <r>
    <x v="5"/>
    <x v="6"/>
    <n v="309"/>
    <m/>
    <m/>
    <s v="Home"/>
    <x v="58"/>
  </r>
  <r>
    <x v="6"/>
    <x v="6"/>
    <n v="309"/>
    <m/>
    <m/>
    <m/>
    <x v="59"/>
  </r>
  <r>
    <x v="7"/>
    <x v="6"/>
    <n v="309"/>
    <m/>
    <m/>
    <s v="Section"/>
    <x v="60"/>
  </r>
  <r>
    <x v="8"/>
    <x v="6"/>
    <n v="309"/>
    <m/>
    <m/>
    <s v="Category"/>
    <x v="61"/>
  </r>
  <r>
    <x v="9"/>
    <x v="6"/>
    <n v="309"/>
    <m/>
    <m/>
    <s v="Section"/>
    <x v="62"/>
  </r>
  <r>
    <x v="10"/>
    <x v="6"/>
    <n v="309"/>
    <m/>
    <m/>
    <s v="PLP"/>
    <x v="63"/>
  </r>
  <r>
    <x v="11"/>
    <x v="6"/>
    <n v="309"/>
    <m/>
    <m/>
    <s v="Home"/>
    <x v="64"/>
  </r>
  <r>
    <x v="12"/>
    <x v="6"/>
    <n v="309"/>
    <m/>
    <m/>
    <m/>
    <x v="58"/>
  </r>
  <r>
    <x v="13"/>
    <x v="6"/>
    <n v="309"/>
    <m/>
    <m/>
    <s v="Home"/>
    <x v="65"/>
  </r>
  <r>
    <x v="14"/>
    <x v="6"/>
    <n v="309"/>
    <m/>
    <m/>
    <m/>
    <x v="65"/>
  </r>
  <r>
    <x v="0"/>
    <x v="7"/>
    <n v="310"/>
    <s v="Website - Asset Health - 4XX Error - Not Found"/>
    <s v="[Instructions]1. Go to http://tools.pingdom.com/fpt/_x000a_2. Enter URL in box and click TEST NOW_x000a_3. Click on the &quot;Page Analysis&quot; Tab_x000a_4. Look in at the &quot;Server Response Code&quot; box_x000a_5. Record the number under __4XX Client Error__ as  the score_x000a__x000a_&lt;img src=&quot;http://oi58.tinypic.com/2wehyrm.jpg&quot;&gt;[Guidance][Reference]"/>
    <s v="Home"/>
    <x v="8"/>
  </r>
  <r>
    <x v="1"/>
    <x v="7"/>
    <n v="310"/>
    <m/>
    <m/>
    <s v="Section"/>
    <x v="8"/>
  </r>
  <r>
    <x v="2"/>
    <x v="7"/>
    <n v="310"/>
    <m/>
    <m/>
    <m/>
    <x v="8"/>
  </r>
  <r>
    <x v="3"/>
    <x v="7"/>
    <n v="310"/>
    <m/>
    <m/>
    <s v="PLP"/>
    <x v="11"/>
  </r>
  <r>
    <x v="4"/>
    <x v="7"/>
    <n v="310"/>
    <m/>
    <m/>
    <s v="Category"/>
    <x v="8"/>
  </r>
  <r>
    <x v="5"/>
    <x v="7"/>
    <n v="310"/>
    <m/>
    <m/>
    <s v="Home"/>
    <x v="8"/>
  </r>
  <r>
    <x v="6"/>
    <x v="7"/>
    <n v="310"/>
    <m/>
    <m/>
    <m/>
    <x v="8"/>
  </r>
  <r>
    <x v="7"/>
    <x v="7"/>
    <n v="310"/>
    <m/>
    <m/>
    <s v="Section"/>
    <x v="8"/>
  </r>
  <r>
    <x v="8"/>
    <x v="7"/>
    <n v="310"/>
    <m/>
    <m/>
    <s v="Category"/>
    <x v="8"/>
  </r>
  <r>
    <x v="9"/>
    <x v="7"/>
    <n v="310"/>
    <m/>
    <m/>
    <s v="Section"/>
    <x v="8"/>
  </r>
  <r>
    <x v="10"/>
    <x v="7"/>
    <n v="310"/>
    <m/>
    <m/>
    <s v="PLP"/>
    <x v="11"/>
  </r>
  <r>
    <x v="11"/>
    <x v="7"/>
    <n v="310"/>
    <m/>
    <m/>
    <s v="Home"/>
    <x v="8"/>
  </r>
  <r>
    <x v="12"/>
    <x v="7"/>
    <n v="310"/>
    <m/>
    <m/>
    <m/>
    <x v="8"/>
  </r>
  <r>
    <x v="13"/>
    <x v="7"/>
    <n v="310"/>
    <m/>
    <m/>
    <s v="Home"/>
    <x v="8"/>
  </r>
  <r>
    <x v="14"/>
    <x v="7"/>
    <n v="310"/>
    <m/>
    <m/>
    <m/>
    <x v="8"/>
  </r>
  <r>
    <x v="0"/>
    <x v="8"/>
    <n v="311"/>
    <s v="Website - Asset Health - 5XX Error - Server Error"/>
    <s v="[Instructions]1. Go to http://tools.pingdom.com/fpt/_x000a_2. Enter URL in box and click TEST NOW_x000a_3. Click on the &quot;Page Analysis&quot; tab_x000a_4. Look in at the &quot;Server Response Code&quot; box_x000a_5. Record the number under &lt;b&gt;5XX Server Error&lt;/b&gt; as  the score_x000a__x000a_&lt;img src=&quot;http://oi58.tinypic.com/2wehyrm.jpg&quot;&gt;[Guidance][Reference]"/>
    <s v="Home"/>
    <x v="8"/>
  </r>
  <r>
    <x v="1"/>
    <x v="8"/>
    <n v="311"/>
    <m/>
    <m/>
    <s v="Section"/>
    <x v="8"/>
  </r>
  <r>
    <x v="2"/>
    <x v="8"/>
    <n v="311"/>
    <m/>
    <m/>
    <m/>
    <x v="8"/>
  </r>
  <r>
    <x v="3"/>
    <x v="8"/>
    <n v="311"/>
    <m/>
    <m/>
    <s v="PLP"/>
    <x v="8"/>
  </r>
  <r>
    <x v="4"/>
    <x v="8"/>
    <n v="311"/>
    <m/>
    <m/>
    <s v="Category"/>
    <x v="8"/>
  </r>
  <r>
    <x v="5"/>
    <x v="8"/>
    <n v="311"/>
    <m/>
    <m/>
    <s v="Home"/>
    <x v="8"/>
  </r>
  <r>
    <x v="6"/>
    <x v="8"/>
    <n v="311"/>
    <m/>
    <m/>
    <m/>
    <x v="8"/>
  </r>
  <r>
    <x v="7"/>
    <x v="8"/>
    <n v="311"/>
    <m/>
    <m/>
    <s v="Section"/>
    <x v="8"/>
  </r>
  <r>
    <x v="8"/>
    <x v="8"/>
    <n v="311"/>
    <m/>
    <m/>
    <s v="Category"/>
    <x v="8"/>
  </r>
  <r>
    <x v="9"/>
    <x v="8"/>
    <n v="311"/>
    <m/>
    <m/>
    <s v="Section"/>
    <x v="8"/>
  </r>
  <r>
    <x v="10"/>
    <x v="8"/>
    <n v="311"/>
    <m/>
    <m/>
    <s v="PLP"/>
    <x v="8"/>
  </r>
  <r>
    <x v="11"/>
    <x v="8"/>
    <n v="311"/>
    <m/>
    <m/>
    <s v="Home"/>
    <x v="8"/>
  </r>
  <r>
    <x v="12"/>
    <x v="8"/>
    <n v="311"/>
    <m/>
    <m/>
    <m/>
    <x v="8"/>
  </r>
  <r>
    <x v="13"/>
    <x v="8"/>
    <n v="311"/>
    <m/>
    <m/>
    <s v="Home"/>
    <x v="8"/>
  </r>
  <r>
    <x v="14"/>
    <x v="8"/>
    <n v="311"/>
    <m/>
    <m/>
    <m/>
    <x v="8"/>
  </r>
  <r>
    <x v="0"/>
    <x v="9"/>
    <n v="312"/>
    <s v="Website - Asset Health - Connection Error - No Response From Server"/>
    <s v="[Instructions]1. Go to http://tools.pingdom.com/fpt/_x000a_2. Enter URL in box and click TEST NOW_x000a_3. Click on the &quot;Page Analysis&quot; Tab_x000a_4. Look in at the &quot;Server Response Code&quot; box_x000a_5. Record the number under __Connection Error__ as  the score_x000a__x000a_&lt;img src=&quot;http://oi58.tinypic.com/2wehyrm.jpg&quot;&gt;[Guidance][Reference]"/>
    <s v="Home"/>
    <x v="11"/>
  </r>
  <r>
    <x v="1"/>
    <x v="9"/>
    <n v="312"/>
    <m/>
    <m/>
    <s v="Section"/>
    <x v="11"/>
  </r>
  <r>
    <x v="2"/>
    <x v="9"/>
    <n v="312"/>
    <m/>
    <m/>
    <m/>
    <x v="11"/>
  </r>
  <r>
    <x v="3"/>
    <x v="9"/>
    <n v="312"/>
    <m/>
    <m/>
    <s v="PLP"/>
    <x v="8"/>
  </r>
  <r>
    <x v="4"/>
    <x v="9"/>
    <n v="312"/>
    <m/>
    <m/>
    <s v="Category"/>
    <x v="8"/>
  </r>
  <r>
    <x v="5"/>
    <x v="9"/>
    <n v="312"/>
    <m/>
    <m/>
    <s v="Home"/>
    <x v="8"/>
  </r>
  <r>
    <x v="6"/>
    <x v="9"/>
    <n v="312"/>
    <m/>
    <m/>
    <m/>
    <x v="8"/>
  </r>
  <r>
    <x v="7"/>
    <x v="9"/>
    <n v="312"/>
    <m/>
    <m/>
    <s v="Section"/>
    <x v="8"/>
  </r>
  <r>
    <x v="8"/>
    <x v="9"/>
    <n v="312"/>
    <m/>
    <m/>
    <s v="Category"/>
    <x v="8"/>
  </r>
  <r>
    <x v="9"/>
    <x v="9"/>
    <n v="312"/>
    <m/>
    <m/>
    <s v="Section"/>
    <x v="8"/>
  </r>
  <r>
    <x v="10"/>
    <x v="9"/>
    <n v="312"/>
    <m/>
    <m/>
    <s v="PLP"/>
    <x v="8"/>
  </r>
  <r>
    <x v="11"/>
    <x v="9"/>
    <n v="312"/>
    <m/>
    <m/>
    <s v="Home"/>
    <x v="11"/>
  </r>
  <r>
    <x v="12"/>
    <x v="9"/>
    <n v="312"/>
    <m/>
    <m/>
    <m/>
    <x v="11"/>
  </r>
  <r>
    <x v="13"/>
    <x v="9"/>
    <n v="312"/>
    <m/>
    <m/>
    <s v="Home"/>
    <x v="8"/>
  </r>
  <r>
    <x v="14"/>
    <x v="9"/>
    <n v="312"/>
    <m/>
    <m/>
    <m/>
    <x v="8"/>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K3:W21" firstHeaderRow="1" firstDataRow="2" firstDataCol="1"/>
  <pivotFields count="7">
    <pivotField axis="axisRow" showAll="0">
      <items count="17">
        <item x="0"/>
        <item x="1"/>
        <item x="2"/>
        <item x="3"/>
        <item x="4"/>
        <item x="5"/>
        <item x="6"/>
        <item x="7"/>
        <item x="8"/>
        <item x="9"/>
        <item x="10"/>
        <item x="11"/>
        <item x="12"/>
        <item x="13"/>
        <item x="14"/>
        <item x="15"/>
        <item t="default"/>
      </items>
    </pivotField>
    <pivotField axis="axisCol" showAll="0">
      <items count="12">
        <item x="0"/>
        <item x="1"/>
        <item x="2"/>
        <item x="3"/>
        <item x="4"/>
        <item x="5"/>
        <item x="6"/>
        <item x="7"/>
        <item x="8"/>
        <item x="9"/>
        <item x="10"/>
        <item t="default"/>
      </items>
    </pivotField>
    <pivotField showAll="0"/>
    <pivotField showAll="0"/>
    <pivotField showAll="0"/>
    <pivotField showAll="0"/>
    <pivotField dataField="1" showAll="0">
      <items count="67">
        <item x="8"/>
        <item x="11"/>
        <item x="12"/>
        <item x="62"/>
        <item x="61"/>
        <item x="0"/>
        <item x="64"/>
        <item x="63"/>
        <item x="1"/>
        <item x="60"/>
        <item x="58"/>
        <item x="6"/>
        <item x="59"/>
        <item x="4"/>
        <item x="15"/>
        <item x="56"/>
        <item x="57"/>
        <item x="65"/>
        <item x="17"/>
        <item x="50"/>
        <item x="16"/>
        <item x="9"/>
        <item x="2"/>
        <item x="52"/>
        <item x="46"/>
        <item x="51"/>
        <item x="28"/>
        <item x="55"/>
        <item x="7"/>
        <item x="49"/>
        <item x="48"/>
        <item x="53"/>
        <item x="54"/>
        <item x="47"/>
        <item x="45"/>
        <item x="5"/>
        <item x="10"/>
        <item x="44"/>
        <item x="19"/>
        <item x="22"/>
        <item x="21"/>
        <item x="18"/>
        <item x="23"/>
        <item x="3"/>
        <item x="20"/>
        <item x="13"/>
        <item x="14"/>
        <item x="26"/>
        <item x="25"/>
        <item x="31"/>
        <item x="24"/>
        <item x="43"/>
        <item x="34"/>
        <item x="40"/>
        <item x="33"/>
        <item x="36"/>
        <item x="37"/>
        <item x="42"/>
        <item x="41"/>
        <item x="38"/>
        <item x="35"/>
        <item x="39"/>
        <item x="30"/>
        <item x="29"/>
        <item x="32"/>
        <item x="27"/>
        <item t="default"/>
      </items>
    </pivotField>
  </pivotFields>
  <rowFields count="1">
    <field x="0"/>
  </rowFields>
  <rowItems count="17">
    <i>
      <x/>
    </i>
    <i>
      <x v="1"/>
    </i>
    <i>
      <x v="2"/>
    </i>
    <i>
      <x v="3"/>
    </i>
    <i>
      <x v="4"/>
    </i>
    <i>
      <x v="5"/>
    </i>
    <i>
      <x v="6"/>
    </i>
    <i>
      <x v="7"/>
    </i>
    <i>
      <x v="8"/>
    </i>
    <i>
      <x v="9"/>
    </i>
    <i>
      <x v="10"/>
    </i>
    <i>
      <x v="11"/>
    </i>
    <i>
      <x v="12"/>
    </i>
    <i>
      <x v="13"/>
    </i>
    <i>
      <x v="14"/>
    </i>
    <i>
      <x v="15"/>
    </i>
    <i t="grand">
      <x/>
    </i>
  </rowItems>
  <colFields count="1">
    <field x="1"/>
  </colFields>
  <colItems count="12">
    <i>
      <x/>
    </i>
    <i>
      <x v="1"/>
    </i>
    <i>
      <x v="2"/>
    </i>
    <i>
      <x v="3"/>
    </i>
    <i>
      <x v="4"/>
    </i>
    <i>
      <x v="5"/>
    </i>
    <i>
      <x v="6"/>
    </i>
    <i>
      <x v="7"/>
    </i>
    <i>
      <x v="8"/>
    </i>
    <i>
      <x v="9"/>
    </i>
    <i>
      <x v="10"/>
    </i>
    <i t="grand">
      <x/>
    </i>
  </colItems>
  <dataFields count="1">
    <dataField name="Sum of Result"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id="{62F939B6-93AF-4DB8-9C6B-D6C7DFDC589F}" name="Office Theme"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51"/>
  <sheetViews>
    <sheetView workbookViewId="0">
      <selection sqref="A1:XFD1048576"/>
    </sheetView>
  </sheetViews>
  <sheetFormatPr defaultRowHeight="14.25" customHeight="1" x14ac:dyDescent="0.25"/>
  <sheetData>
    <row r="1" spans="1:12" ht="14.25" customHeight="1" x14ac:dyDescent="0.25">
      <c r="A1" t="s">
        <v>41</v>
      </c>
      <c r="B1" t="s">
        <v>42</v>
      </c>
      <c r="C1" t="s">
        <v>43</v>
      </c>
      <c r="D1" t="s">
        <v>44</v>
      </c>
      <c r="E1" t="s">
        <v>45</v>
      </c>
      <c r="F1" t="s">
        <v>46</v>
      </c>
      <c r="G1" t="s">
        <v>47</v>
      </c>
      <c r="H1" t="s">
        <v>48</v>
      </c>
      <c r="I1" t="s">
        <v>49</v>
      </c>
      <c r="J1" t="s">
        <v>50</v>
      </c>
      <c r="K1" t="s">
        <v>51</v>
      </c>
      <c r="L1" t="s">
        <v>52</v>
      </c>
    </row>
    <row r="2" spans="1:12" ht="14.25" customHeight="1" x14ac:dyDescent="0.25">
      <c r="A2">
        <v>866958</v>
      </c>
      <c r="B2">
        <v>963</v>
      </c>
      <c r="C2">
        <v>47</v>
      </c>
      <c r="D2">
        <v>4648</v>
      </c>
      <c r="E2">
        <v>4549</v>
      </c>
      <c r="F2">
        <v>3</v>
      </c>
      <c r="G2">
        <v>47</v>
      </c>
      <c r="H2" t="s">
        <v>53</v>
      </c>
      <c r="I2" s="2" t="s">
        <v>54</v>
      </c>
      <c r="J2" t="s">
        <v>86</v>
      </c>
      <c r="K2" t="s">
        <v>32</v>
      </c>
      <c r="L2">
        <v>14</v>
      </c>
    </row>
    <row r="3" spans="1:12" ht="14.25" customHeight="1" x14ac:dyDescent="0.25">
      <c r="A3">
        <v>866962</v>
      </c>
      <c r="B3">
        <v>963</v>
      </c>
      <c r="C3">
        <v>47</v>
      </c>
      <c r="D3">
        <v>4652</v>
      </c>
      <c r="E3">
        <v>4550</v>
      </c>
      <c r="F3">
        <v>3</v>
      </c>
      <c r="G3">
        <v>47</v>
      </c>
      <c r="J3" t="s">
        <v>91</v>
      </c>
      <c r="K3" t="s">
        <v>33</v>
      </c>
      <c r="L3">
        <v>14</v>
      </c>
    </row>
    <row r="4" spans="1:12" ht="14.25" customHeight="1" x14ac:dyDescent="0.25">
      <c r="A4">
        <v>866892</v>
      </c>
      <c r="B4">
        <v>961</v>
      </c>
      <c r="C4">
        <v>47</v>
      </c>
      <c r="D4">
        <v>4649</v>
      </c>
      <c r="E4">
        <v>4547</v>
      </c>
      <c r="F4">
        <v>3</v>
      </c>
      <c r="G4">
        <v>47</v>
      </c>
      <c r="J4" t="s">
        <v>87</v>
      </c>
      <c r="L4">
        <v>18</v>
      </c>
    </row>
    <row r="5" spans="1:12" ht="14.25" customHeight="1" x14ac:dyDescent="0.25">
      <c r="A5">
        <v>866888</v>
      </c>
      <c r="B5">
        <v>961</v>
      </c>
      <c r="C5">
        <v>47</v>
      </c>
      <c r="D5">
        <v>4658</v>
      </c>
      <c r="E5">
        <v>4557</v>
      </c>
      <c r="F5">
        <v>3</v>
      </c>
      <c r="G5">
        <v>47</v>
      </c>
      <c r="J5" t="s">
        <v>98</v>
      </c>
      <c r="K5" t="s">
        <v>35</v>
      </c>
      <c r="L5">
        <v>85</v>
      </c>
    </row>
    <row r="6" spans="1:12" ht="14.25" customHeight="1" x14ac:dyDescent="0.25">
      <c r="A6">
        <v>866896</v>
      </c>
      <c r="B6">
        <v>961</v>
      </c>
      <c r="C6">
        <v>47</v>
      </c>
      <c r="D6">
        <v>4653</v>
      </c>
      <c r="E6">
        <v>4551</v>
      </c>
      <c r="F6">
        <v>3</v>
      </c>
      <c r="G6">
        <v>47</v>
      </c>
      <c r="J6" t="s">
        <v>96</v>
      </c>
      <c r="K6" t="s">
        <v>34</v>
      </c>
      <c r="L6">
        <v>353</v>
      </c>
    </row>
    <row r="7" spans="1:12" ht="14.25" customHeight="1" x14ac:dyDescent="0.25">
      <c r="A7">
        <v>866778</v>
      </c>
      <c r="B7">
        <v>960</v>
      </c>
      <c r="C7">
        <v>47</v>
      </c>
      <c r="D7">
        <v>4647</v>
      </c>
      <c r="E7">
        <v>4545</v>
      </c>
      <c r="F7">
        <v>3</v>
      </c>
      <c r="G7">
        <v>47</v>
      </c>
      <c r="J7" t="s">
        <v>85</v>
      </c>
      <c r="K7" t="s">
        <v>32</v>
      </c>
      <c r="L7">
        <v>37</v>
      </c>
    </row>
    <row r="8" spans="1:12" ht="14.25" customHeight="1" x14ac:dyDescent="0.25">
      <c r="A8">
        <v>866786</v>
      </c>
      <c r="B8">
        <v>960</v>
      </c>
      <c r="C8">
        <v>47</v>
      </c>
      <c r="D8">
        <v>4659</v>
      </c>
      <c r="E8">
        <v>4558</v>
      </c>
      <c r="F8">
        <v>3</v>
      </c>
      <c r="G8">
        <v>47</v>
      </c>
      <c r="J8" t="s">
        <v>94</v>
      </c>
      <c r="L8">
        <v>155</v>
      </c>
    </row>
    <row r="9" spans="1:12" ht="14.25" customHeight="1" x14ac:dyDescent="0.25">
      <c r="A9">
        <v>866783</v>
      </c>
      <c r="B9">
        <v>960</v>
      </c>
      <c r="C9">
        <v>47</v>
      </c>
      <c r="D9">
        <v>4656</v>
      </c>
      <c r="E9">
        <v>4555</v>
      </c>
      <c r="F9">
        <v>3</v>
      </c>
      <c r="G9">
        <v>47</v>
      </c>
      <c r="J9" t="s">
        <v>90</v>
      </c>
      <c r="K9" t="s">
        <v>33</v>
      </c>
      <c r="L9">
        <v>31</v>
      </c>
    </row>
    <row r="10" spans="1:12" ht="14.25" customHeight="1" x14ac:dyDescent="0.25">
      <c r="A10">
        <v>867872</v>
      </c>
      <c r="B10">
        <v>962</v>
      </c>
      <c r="C10">
        <v>47</v>
      </c>
      <c r="D10">
        <v>4657</v>
      </c>
      <c r="E10">
        <v>4554</v>
      </c>
      <c r="F10">
        <v>3</v>
      </c>
      <c r="G10">
        <v>47</v>
      </c>
      <c r="J10" t="s">
        <v>97</v>
      </c>
      <c r="K10" t="s">
        <v>34</v>
      </c>
      <c r="L10">
        <v>115</v>
      </c>
    </row>
    <row r="11" spans="1:12" ht="14.25" customHeight="1" x14ac:dyDescent="0.25">
      <c r="A11">
        <v>867878</v>
      </c>
      <c r="B11">
        <v>962</v>
      </c>
      <c r="C11">
        <v>47</v>
      </c>
      <c r="D11">
        <v>4660</v>
      </c>
      <c r="E11">
        <v>4559</v>
      </c>
      <c r="F11">
        <v>3</v>
      </c>
      <c r="G11">
        <v>47</v>
      </c>
      <c r="J11" t="s">
        <v>92</v>
      </c>
      <c r="K11" t="s">
        <v>33</v>
      </c>
      <c r="L11">
        <v>0</v>
      </c>
    </row>
    <row r="12" spans="1:12" ht="14.25" customHeight="1" x14ac:dyDescent="0.25">
      <c r="A12">
        <v>867881</v>
      </c>
      <c r="B12">
        <v>962</v>
      </c>
      <c r="C12">
        <v>47</v>
      </c>
      <c r="D12">
        <v>4665</v>
      </c>
      <c r="E12">
        <v>4564</v>
      </c>
      <c r="F12">
        <v>3</v>
      </c>
      <c r="G12">
        <v>47</v>
      </c>
      <c r="J12" t="s">
        <v>99</v>
      </c>
      <c r="K12" t="s">
        <v>35</v>
      </c>
      <c r="L12">
        <v>84</v>
      </c>
    </row>
    <row r="13" spans="1:12" ht="14.25" customHeight="1" x14ac:dyDescent="0.25">
      <c r="A13">
        <v>867875</v>
      </c>
      <c r="B13">
        <v>962</v>
      </c>
      <c r="C13">
        <v>47</v>
      </c>
      <c r="D13">
        <v>4651</v>
      </c>
      <c r="E13">
        <v>4546</v>
      </c>
      <c r="F13">
        <v>3</v>
      </c>
      <c r="G13">
        <v>47</v>
      </c>
      <c r="J13" t="s">
        <v>88</v>
      </c>
      <c r="K13" t="s">
        <v>32</v>
      </c>
      <c r="L13">
        <v>180</v>
      </c>
    </row>
    <row r="14" spans="1:12" ht="14.25" customHeight="1" x14ac:dyDescent="0.25">
      <c r="A14">
        <v>866966</v>
      </c>
      <c r="B14">
        <v>963</v>
      </c>
      <c r="C14">
        <v>47</v>
      </c>
      <c r="D14">
        <v>4662</v>
      </c>
      <c r="E14">
        <v>4561</v>
      </c>
      <c r="F14">
        <v>3</v>
      </c>
      <c r="G14">
        <v>47</v>
      </c>
      <c r="J14" t="s">
        <v>95</v>
      </c>
      <c r="L14">
        <v>1</v>
      </c>
    </row>
    <row r="15" spans="1:12" ht="14.25" customHeight="1" x14ac:dyDescent="0.25">
      <c r="A15">
        <v>865754</v>
      </c>
      <c r="B15">
        <v>964</v>
      </c>
      <c r="C15">
        <v>47</v>
      </c>
      <c r="D15">
        <v>4650</v>
      </c>
      <c r="E15">
        <v>4548</v>
      </c>
      <c r="F15">
        <v>3</v>
      </c>
      <c r="G15">
        <v>47</v>
      </c>
      <c r="J15" t="s">
        <v>89</v>
      </c>
      <c r="K15" t="s">
        <v>32</v>
      </c>
      <c r="L15">
        <v>4</v>
      </c>
    </row>
    <row r="16" spans="1:12" ht="14.25" customHeight="1" x14ac:dyDescent="0.25">
      <c r="A16">
        <v>865750</v>
      </c>
      <c r="B16">
        <v>964</v>
      </c>
      <c r="C16">
        <v>47</v>
      </c>
      <c r="D16">
        <v>4675</v>
      </c>
      <c r="E16">
        <v>4574</v>
      </c>
      <c r="F16">
        <v>3</v>
      </c>
      <c r="G16">
        <v>47</v>
      </c>
      <c r="J16" t="s">
        <v>93</v>
      </c>
      <c r="L16">
        <v>4</v>
      </c>
    </row>
    <row r="17" spans="1:12" ht="14.25" customHeight="1" x14ac:dyDescent="0.25">
      <c r="A17">
        <v>866874</v>
      </c>
      <c r="B17">
        <v>963</v>
      </c>
      <c r="C17">
        <v>49</v>
      </c>
      <c r="D17">
        <v>4648</v>
      </c>
      <c r="E17">
        <v>4549</v>
      </c>
      <c r="F17">
        <v>3</v>
      </c>
      <c r="G17">
        <v>49</v>
      </c>
      <c r="H17" t="s">
        <v>55</v>
      </c>
      <c r="I17" s="2" t="s">
        <v>56</v>
      </c>
      <c r="J17" t="s">
        <v>86</v>
      </c>
      <c r="K17" t="s">
        <v>32</v>
      </c>
      <c r="L17">
        <v>469</v>
      </c>
    </row>
    <row r="18" spans="1:12" ht="14.25" customHeight="1" x14ac:dyDescent="0.25">
      <c r="A18">
        <v>866878</v>
      </c>
      <c r="B18">
        <v>963</v>
      </c>
      <c r="C18">
        <v>49</v>
      </c>
      <c r="D18">
        <v>4652</v>
      </c>
      <c r="E18">
        <v>4550</v>
      </c>
      <c r="F18">
        <v>3</v>
      </c>
      <c r="G18">
        <v>49</v>
      </c>
      <c r="J18" t="s">
        <v>91</v>
      </c>
      <c r="K18" t="s">
        <v>33</v>
      </c>
      <c r="L18">
        <v>476</v>
      </c>
    </row>
    <row r="19" spans="1:12" ht="14.25" customHeight="1" x14ac:dyDescent="0.25">
      <c r="A19">
        <v>866812</v>
      </c>
      <c r="B19">
        <v>961</v>
      </c>
      <c r="C19">
        <v>49</v>
      </c>
      <c r="D19">
        <v>4649</v>
      </c>
      <c r="E19">
        <v>4547</v>
      </c>
      <c r="F19">
        <v>3</v>
      </c>
      <c r="G19">
        <v>49</v>
      </c>
      <c r="J19" t="s">
        <v>87</v>
      </c>
      <c r="L19">
        <v>39</v>
      </c>
    </row>
    <row r="20" spans="1:12" ht="14.25" customHeight="1" x14ac:dyDescent="0.25">
      <c r="A20">
        <v>866808</v>
      </c>
      <c r="B20">
        <v>961</v>
      </c>
      <c r="C20">
        <v>49</v>
      </c>
      <c r="D20">
        <v>4658</v>
      </c>
      <c r="E20">
        <v>4557</v>
      </c>
      <c r="F20">
        <v>3</v>
      </c>
      <c r="G20">
        <v>49</v>
      </c>
      <c r="J20" t="s">
        <v>98</v>
      </c>
      <c r="K20" t="s">
        <v>35</v>
      </c>
      <c r="L20">
        <v>79</v>
      </c>
    </row>
    <row r="21" spans="1:12" ht="14.25" customHeight="1" x14ac:dyDescent="0.25">
      <c r="A21">
        <v>866816</v>
      </c>
      <c r="B21">
        <v>961</v>
      </c>
      <c r="C21">
        <v>49</v>
      </c>
      <c r="D21">
        <v>4653</v>
      </c>
      <c r="E21">
        <v>4551</v>
      </c>
      <c r="F21">
        <v>3</v>
      </c>
      <c r="G21">
        <v>49</v>
      </c>
      <c r="J21" t="s">
        <v>96</v>
      </c>
      <c r="K21" t="s">
        <v>34</v>
      </c>
      <c r="L21">
        <v>61</v>
      </c>
    </row>
    <row r="22" spans="1:12" ht="14.25" customHeight="1" x14ac:dyDescent="0.25">
      <c r="A22">
        <v>866684</v>
      </c>
      <c r="B22">
        <v>960</v>
      </c>
      <c r="C22">
        <v>49</v>
      </c>
      <c r="D22">
        <v>4647</v>
      </c>
      <c r="E22">
        <v>4545</v>
      </c>
      <c r="F22">
        <v>3</v>
      </c>
      <c r="G22">
        <v>49</v>
      </c>
      <c r="J22" t="s">
        <v>85</v>
      </c>
      <c r="K22" t="s">
        <v>32</v>
      </c>
      <c r="L22">
        <v>277</v>
      </c>
    </row>
    <row r="23" spans="1:12" ht="14.25" customHeight="1" x14ac:dyDescent="0.25">
      <c r="A23">
        <v>866694</v>
      </c>
      <c r="B23">
        <v>960</v>
      </c>
      <c r="C23">
        <v>49</v>
      </c>
      <c r="D23">
        <v>4659</v>
      </c>
      <c r="E23">
        <v>4558</v>
      </c>
      <c r="F23">
        <v>3</v>
      </c>
      <c r="G23">
        <v>49</v>
      </c>
      <c r="J23" t="s">
        <v>94</v>
      </c>
      <c r="L23">
        <v>202</v>
      </c>
    </row>
    <row r="24" spans="1:12" ht="14.25" customHeight="1" x14ac:dyDescent="0.25">
      <c r="A24">
        <v>866689</v>
      </c>
      <c r="B24">
        <v>960</v>
      </c>
      <c r="C24">
        <v>49</v>
      </c>
      <c r="D24">
        <v>4656</v>
      </c>
      <c r="E24">
        <v>4555</v>
      </c>
      <c r="F24">
        <v>3</v>
      </c>
      <c r="G24">
        <v>49</v>
      </c>
      <c r="J24" t="s">
        <v>90</v>
      </c>
      <c r="K24" t="s">
        <v>33</v>
      </c>
      <c r="L24">
        <v>413</v>
      </c>
    </row>
    <row r="25" spans="1:12" ht="14.25" customHeight="1" x14ac:dyDescent="0.25">
      <c r="A25">
        <v>867769</v>
      </c>
      <c r="B25">
        <v>962</v>
      </c>
      <c r="C25">
        <v>49</v>
      </c>
      <c r="D25">
        <v>4657</v>
      </c>
      <c r="E25">
        <v>4554</v>
      </c>
      <c r="F25">
        <v>3</v>
      </c>
      <c r="G25">
        <v>49</v>
      </c>
      <c r="J25" t="s">
        <v>97</v>
      </c>
      <c r="K25" t="s">
        <v>34</v>
      </c>
      <c r="L25">
        <v>245</v>
      </c>
    </row>
    <row r="26" spans="1:12" ht="14.25" customHeight="1" x14ac:dyDescent="0.25">
      <c r="A26">
        <v>867777</v>
      </c>
      <c r="B26">
        <v>962</v>
      </c>
      <c r="C26">
        <v>49</v>
      </c>
      <c r="D26">
        <v>4660</v>
      </c>
      <c r="E26">
        <v>4559</v>
      </c>
      <c r="F26">
        <v>3</v>
      </c>
      <c r="G26">
        <v>49</v>
      </c>
      <c r="J26" t="s">
        <v>92</v>
      </c>
      <c r="K26" t="s">
        <v>33</v>
      </c>
      <c r="L26">
        <v>243</v>
      </c>
    </row>
    <row r="27" spans="1:12" ht="14.25" customHeight="1" x14ac:dyDescent="0.25">
      <c r="A27">
        <v>867781</v>
      </c>
      <c r="B27">
        <v>962</v>
      </c>
      <c r="C27">
        <v>49</v>
      </c>
      <c r="D27">
        <v>4665</v>
      </c>
      <c r="E27">
        <v>4564</v>
      </c>
      <c r="F27">
        <v>3</v>
      </c>
      <c r="G27">
        <v>49</v>
      </c>
      <c r="J27" t="s">
        <v>99</v>
      </c>
      <c r="K27" t="s">
        <v>35</v>
      </c>
      <c r="L27">
        <v>243</v>
      </c>
    </row>
    <row r="28" spans="1:12" ht="14.25" customHeight="1" x14ac:dyDescent="0.25">
      <c r="A28">
        <v>867773</v>
      </c>
      <c r="B28">
        <v>962</v>
      </c>
      <c r="C28">
        <v>49</v>
      </c>
      <c r="D28">
        <v>4651</v>
      </c>
      <c r="E28">
        <v>4546</v>
      </c>
      <c r="F28">
        <v>3</v>
      </c>
      <c r="G28">
        <v>49</v>
      </c>
      <c r="J28" t="s">
        <v>88</v>
      </c>
      <c r="K28" t="s">
        <v>32</v>
      </c>
      <c r="L28">
        <v>296</v>
      </c>
    </row>
    <row r="29" spans="1:12" ht="14.25" customHeight="1" x14ac:dyDescent="0.25">
      <c r="A29">
        <v>866882</v>
      </c>
      <c r="B29">
        <v>963</v>
      </c>
      <c r="C29">
        <v>49</v>
      </c>
      <c r="D29">
        <v>4662</v>
      </c>
      <c r="E29">
        <v>4561</v>
      </c>
      <c r="F29">
        <v>3</v>
      </c>
      <c r="G29">
        <v>49</v>
      </c>
      <c r="J29" t="s">
        <v>95</v>
      </c>
      <c r="L29">
        <v>643</v>
      </c>
    </row>
    <row r="30" spans="1:12" ht="14.25" customHeight="1" x14ac:dyDescent="0.25">
      <c r="A30">
        <v>865699</v>
      </c>
      <c r="B30">
        <v>964</v>
      </c>
      <c r="C30">
        <v>49</v>
      </c>
      <c r="D30">
        <v>4650</v>
      </c>
      <c r="E30">
        <v>4548</v>
      </c>
      <c r="F30">
        <v>3</v>
      </c>
      <c r="G30">
        <v>49</v>
      </c>
      <c r="J30" t="s">
        <v>89</v>
      </c>
      <c r="K30" t="s">
        <v>32</v>
      </c>
      <c r="L30">
        <v>480</v>
      </c>
    </row>
    <row r="31" spans="1:12" ht="14.25" customHeight="1" x14ac:dyDescent="0.25">
      <c r="A31">
        <v>865695</v>
      </c>
      <c r="B31">
        <v>964</v>
      </c>
      <c r="C31">
        <v>49</v>
      </c>
      <c r="D31">
        <v>4675</v>
      </c>
      <c r="E31">
        <v>4574</v>
      </c>
      <c r="F31">
        <v>3</v>
      </c>
      <c r="G31">
        <v>49</v>
      </c>
      <c r="J31" t="s">
        <v>93</v>
      </c>
      <c r="L31">
        <v>478</v>
      </c>
    </row>
    <row r="32" spans="1:12" ht="14.25" customHeight="1" x14ac:dyDescent="0.25">
      <c r="A32">
        <v>867111</v>
      </c>
      <c r="B32">
        <v>963</v>
      </c>
      <c r="C32">
        <v>51</v>
      </c>
      <c r="D32">
        <v>4648</v>
      </c>
      <c r="E32">
        <v>4549</v>
      </c>
      <c r="F32">
        <v>3</v>
      </c>
      <c r="G32">
        <v>51</v>
      </c>
      <c r="H32" t="s">
        <v>57</v>
      </c>
      <c r="I32" s="2" t="s">
        <v>58</v>
      </c>
      <c r="J32" t="s">
        <v>86</v>
      </c>
      <c r="K32" t="s">
        <v>32</v>
      </c>
    </row>
    <row r="33" spans="1:12" ht="14.25" customHeight="1" x14ac:dyDescent="0.25">
      <c r="A33">
        <v>867115</v>
      </c>
      <c r="B33">
        <v>963</v>
      </c>
      <c r="C33">
        <v>51</v>
      </c>
      <c r="D33">
        <v>4652</v>
      </c>
      <c r="E33">
        <v>4550</v>
      </c>
      <c r="F33">
        <v>3</v>
      </c>
      <c r="G33">
        <v>51</v>
      </c>
      <c r="J33" t="s">
        <v>91</v>
      </c>
      <c r="K33" t="s">
        <v>33</v>
      </c>
    </row>
    <row r="34" spans="1:12" ht="14.25" customHeight="1" x14ac:dyDescent="0.25">
      <c r="A34">
        <v>867037</v>
      </c>
      <c r="B34">
        <v>961</v>
      </c>
      <c r="C34">
        <v>51</v>
      </c>
      <c r="D34">
        <v>4649</v>
      </c>
      <c r="E34">
        <v>4547</v>
      </c>
      <c r="F34">
        <v>3</v>
      </c>
      <c r="G34">
        <v>51</v>
      </c>
      <c r="J34" t="s">
        <v>87</v>
      </c>
    </row>
    <row r="35" spans="1:12" ht="14.25" customHeight="1" x14ac:dyDescent="0.25">
      <c r="A35">
        <v>867033</v>
      </c>
      <c r="B35">
        <v>961</v>
      </c>
      <c r="C35">
        <v>51</v>
      </c>
      <c r="D35">
        <v>4658</v>
      </c>
      <c r="E35">
        <v>4557</v>
      </c>
      <c r="F35">
        <v>3</v>
      </c>
      <c r="G35">
        <v>51</v>
      </c>
      <c r="J35" t="s">
        <v>98</v>
      </c>
      <c r="K35" t="s">
        <v>35</v>
      </c>
    </row>
    <row r="36" spans="1:12" ht="14.25" customHeight="1" x14ac:dyDescent="0.25">
      <c r="A36">
        <v>867041</v>
      </c>
      <c r="B36">
        <v>961</v>
      </c>
      <c r="C36">
        <v>51</v>
      </c>
      <c r="D36">
        <v>4653</v>
      </c>
      <c r="E36">
        <v>4551</v>
      </c>
      <c r="F36">
        <v>3</v>
      </c>
      <c r="G36">
        <v>51</v>
      </c>
      <c r="J36" t="s">
        <v>96</v>
      </c>
      <c r="K36" t="s">
        <v>34</v>
      </c>
    </row>
    <row r="37" spans="1:12" ht="14.25" customHeight="1" x14ac:dyDescent="0.25">
      <c r="A37">
        <v>866921</v>
      </c>
      <c r="B37">
        <v>960</v>
      </c>
      <c r="C37">
        <v>51</v>
      </c>
      <c r="D37">
        <v>4647</v>
      </c>
      <c r="E37">
        <v>4545</v>
      </c>
      <c r="F37">
        <v>3</v>
      </c>
      <c r="G37">
        <v>51</v>
      </c>
      <c r="J37" t="s">
        <v>85</v>
      </c>
      <c r="K37" t="s">
        <v>32</v>
      </c>
    </row>
    <row r="38" spans="1:12" ht="14.25" customHeight="1" x14ac:dyDescent="0.25">
      <c r="A38">
        <v>866929</v>
      </c>
      <c r="B38">
        <v>960</v>
      </c>
      <c r="C38">
        <v>51</v>
      </c>
      <c r="D38">
        <v>4659</v>
      </c>
      <c r="E38">
        <v>4558</v>
      </c>
      <c r="F38">
        <v>3</v>
      </c>
      <c r="G38">
        <v>51</v>
      </c>
      <c r="J38" t="s">
        <v>94</v>
      </c>
    </row>
    <row r="39" spans="1:12" ht="14.25" customHeight="1" x14ac:dyDescent="0.25">
      <c r="A39">
        <v>866925</v>
      </c>
      <c r="B39">
        <v>960</v>
      </c>
      <c r="C39">
        <v>51</v>
      </c>
      <c r="D39">
        <v>4656</v>
      </c>
      <c r="E39">
        <v>4555</v>
      </c>
      <c r="F39">
        <v>3</v>
      </c>
      <c r="G39">
        <v>51</v>
      </c>
      <c r="J39" t="s">
        <v>90</v>
      </c>
      <c r="K39" t="s">
        <v>33</v>
      </c>
    </row>
    <row r="40" spans="1:12" ht="14.25" customHeight="1" x14ac:dyDescent="0.25">
      <c r="A40">
        <v>867986</v>
      </c>
      <c r="B40">
        <v>962</v>
      </c>
      <c r="C40">
        <v>51</v>
      </c>
      <c r="D40">
        <v>4657</v>
      </c>
      <c r="E40">
        <v>4554</v>
      </c>
      <c r="F40">
        <v>3</v>
      </c>
      <c r="G40">
        <v>51</v>
      </c>
      <c r="J40" t="s">
        <v>97</v>
      </c>
      <c r="K40" t="s">
        <v>34</v>
      </c>
    </row>
    <row r="41" spans="1:12" ht="14.25" customHeight="1" x14ac:dyDescent="0.25">
      <c r="A41">
        <v>867988</v>
      </c>
      <c r="B41">
        <v>962</v>
      </c>
      <c r="C41">
        <v>51</v>
      </c>
      <c r="D41">
        <v>4660</v>
      </c>
      <c r="E41">
        <v>4559</v>
      </c>
      <c r="F41">
        <v>3</v>
      </c>
      <c r="G41">
        <v>51</v>
      </c>
      <c r="J41" t="s">
        <v>92</v>
      </c>
      <c r="K41" t="s">
        <v>33</v>
      </c>
    </row>
    <row r="42" spans="1:12" ht="14.25" customHeight="1" x14ac:dyDescent="0.25">
      <c r="A42">
        <v>867989</v>
      </c>
      <c r="B42">
        <v>962</v>
      </c>
      <c r="C42">
        <v>51</v>
      </c>
      <c r="D42">
        <v>4665</v>
      </c>
      <c r="E42">
        <v>4564</v>
      </c>
      <c r="F42">
        <v>3</v>
      </c>
      <c r="G42">
        <v>51</v>
      </c>
      <c r="J42" t="s">
        <v>99</v>
      </c>
      <c r="K42" t="s">
        <v>35</v>
      </c>
    </row>
    <row r="43" spans="1:12" ht="14.25" customHeight="1" x14ac:dyDescent="0.25">
      <c r="A43">
        <v>867987</v>
      </c>
      <c r="B43">
        <v>962</v>
      </c>
      <c r="C43">
        <v>51</v>
      </c>
      <c r="D43">
        <v>4651</v>
      </c>
      <c r="E43">
        <v>4546</v>
      </c>
      <c r="F43">
        <v>3</v>
      </c>
      <c r="G43">
        <v>51</v>
      </c>
      <c r="J43" t="s">
        <v>88</v>
      </c>
      <c r="K43" t="s">
        <v>32</v>
      </c>
    </row>
    <row r="44" spans="1:12" ht="14.25" customHeight="1" x14ac:dyDescent="0.25">
      <c r="A44">
        <v>867119</v>
      </c>
      <c r="B44">
        <v>963</v>
      </c>
      <c r="C44">
        <v>51</v>
      </c>
      <c r="D44">
        <v>4662</v>
      </c>
      <c r="E44">
        <v>4561</v>
      </c>
      <c r="F44">
        <v>3</v>
      </c>
      <c r="G44">
        <v>51</v>
      </c>
      <c r="J44" t="s">
        <v>95</v>
      </c>
    </row>
    <row r="45" spans="1:12" ht="14.25" customHeight="1" x14ac:dyDescent="0.25">
      <c r="A45">
        <v>865853</v>
      </c>
      <c r="B45">
        <v>964</v>
      </c>
      <c r="C45">
        <v>51</v>
      </c>
      <c r="D45">
        <v>4650</v>
      </c>
      <c r="E45">
        <v>4548</v>
      </c>
      <c r="F45">
        <v>3</v>
      </c>
      <c r="G45">
        <v>51</v>
      </c>
      <c r="J45" t="s">
        <v>89</v>
      </c>
      <c r="K45" t="s">
        <v>32</v>
      </c>
    </row>
    <row r="46" spans="1:12" ht="14.25" customHeight="1" x14ac:dyDescent="0.25">
      <c r="A46">
        <v>865849</v>
      </c>
      <c r="B46">
        <v>964</v>
      </c>
      <c r="C46">
        <v>51</v>
      </c>
      <c r="D46">
        <v>4675</v>
      </c>
      <c r="E46">
        <v>4574</v>
      </c>
      <c r="F46">
        <v>3</v>
      </c>
      <c r="G46">
        <v>51</v>
      </c>
      <c r="J46" t="s">
        <v>93</v>
      </c>
    </row>
    <row r="47" spans="1:12" ht="14.25" customHeight="1" x14ac:dyDescent="0.25">
      <c r="A47">
        <v>867123</v>
      </c>
      <c r="B47">
        <v>963</v>
      </c>
      <c r="C47">
        <v>53</v>
      </c>
      <c r="D47">
        <v>4648</v>
      </c>
      <c r="E47">
        <v>4549</v>
      </c>
      <c r="F47">
        <v>3</v>
      </c>
      <c r="G47">
        <v>53</v>
      </c>
      <c r="H47" t="s">
        <v>59</v>
      </c>
      <c r="I47" s="2" t="s">
        <v>60</v>
      </c>
      <c r="J47" t="s">
        <v>86</v>
      </c>
      <c r="K47" t="s">
        <v>32</v>
      </c>
      <c r="L47">
        <v>100</v>
      </c>
    </row>
    <row r="48" spans="1:12" ht="14.25" customHeight="1" x14ac:dyDescent="0.25">
      <c r="A48">
        <v>867127</v>
      </c>
      <c r="B48">
        <v>963</v>
      </c>
      <c r="C48">
        <v>53</v>
      </c>
      <c r="D48">
        <v>4652</v>
      </c>
      <c r="E48">
        <v>4550</v>
      </c>
      <c r="F48">
        <v>3</v>
      </c>
      <c r="G48">
        <v>53</v>
      </c>
      <c r="J48" t="s">
        <v>91</v>
      </c>
      <c r="K48" t="s">
        <v>33</v>
      </c>
      <c r="L48">
        <v>100</v>
      </c>
    </row>
    <row r="49" spans="1:12" ht="14.25" customHeight="1" x14ac:dyDescent="0.25">
      <c r="A49">
        <v>867048</v>
      </c>
      <c r="B49">
        <v>961</v>
      </c>
      <c r="C49">
        <v>53</v>
      </c>
      <c r="D49">
        <v>4649</v>
      </c>
      <c r="E49">
        <v>4547</v>
      </c>
      <c r="F49">
        <v>3</v>
      </c>
      <c r="G49">
        <v>53</v>
      </c>
      <c r="J49" t="s">
        <v>87</v>
      </c>
      <c r="L49">
        <v>100</v>
      </c>
    </row>
    <row r="50" spans="1:12" ht="14.25" customHeight="1" x14ac:dyDescent="0.25">
      <c r="A50">
        <v>867045</v>
      </c>
      <c r="B50">
        <v>961</v>
      </c>
      <c r="C50">
        <v>53</v>
      </c>
      <c r="D50">
        <v>4658</v>
      </c>
      <c r="E50">
        <v>4557</v>
      </c>
      <c r="F50">
        <v>3</v>
      </c>
      <c r="G50">
        <v>53</v>
      </c>
      <c r="J50" t="s">
        <v>98</v>
      </c>
      <c r="K50" t="s">
        <v>35</v>
      </c>
      <c r="L50">
        <v>100</v>
      </c>
    </row>
    <row r="51" spans="1:12" ht="14.25" customHeight="1" x14ac:dyDescent="0.25">
      <c r="A51">
        <v>867052</v>
      </c>
      <c r="B51">
        <v>961</v>
      </c>
      <c r="C51">
        <v>53</v>
      </c>
      <c r="D51">
        <v>4653</v>
      </c>
      <c r="E51">
        <v>4551</v>
      </c>
      <c r="F51">
        <v>3</v>
      </c>
      <c r="G51">
        <v>53</v>
      </c>
      <c r="J51" t="s">
        <v>96</v>
      </c>
      <c r="K51" t="s">
        <v>34</v>
      </c>
      <c r="L51">
        <v>100</v>
      </c>
    </row>
    <row r="52" spans="1:12" ht="14.25" customHeight="1" x14ac:dyDescent="0.25">
      <c r="A52">
        <v>866932</v>
      </c>
      <c r="B52">
        <v>960</v>
      </c>
      <c r="C52">
        <v>53</v>
      </c>
      <c r="D52">
        <v>4647</v>
      </c>
      <c r="E52">
        <v>4545</v>
      </c>
      <c r="F52">
        <v>3</v>
      </c>
      <c r="G52">
        <v>53</v>
      </c>
      <c r="J52" t="s">
        <v>85</v>
      </c>
      <c r="K52" t="s">
        <v>32</v>
      </c>
      <c r="L52">
        <v>100</v>
      </c>
    </row>
    <row r="53" spans="1:12" ht="14.25" customHeight="1" x14ac:dyDescent="0.25">
      <c r="A53">
        <v>866940</v>
      </c>
      <c r="B53">
        <v>960</v>
      </c>
      <c r="C53">
        <v>53</v>
      </c>
      <c r="D53">
        <v>4659</v>
      </c>
      <c r="E53">
        <v>4558</v>
      </c>
      <c r="F53">
        <v>3</v>
      </c>
      <c r="G53">
        <v>53</v>
      </c>
      <c r="J53" t="s">
        <v>94</v>
      </c>
      <c r="L53">
        <v>100</v>
      </c>
    </row>
    <row r="54" spans="1:12" ht="14.25" customHeight="1" x14ac:dyDescent="0.25">
      <c r="A54">
        <v>866936</v>
      </c>
      <c r="B54">
        <v>960</v>
      </c>
      <c r="C54">
        <v>53</v>
      </c>
      <c r="D54">
        <v>4656</v>
      </c>
      <c r="E54">
        <v>4555</v>
      </c>
      <c r="F54">
        <v>3</v>
      </c>
      <c r="G54">
        <v>53</v>
      </c>
      <c r="J54" t="s">
        <v>90</v>
      </c>
      <c r="K54" t="s">
        <v>33</v>
      </c>
      <c r="L54">
        <v>100</v>
      </c>
    </row>
    <row r="55" spans="1:12" ht="14.25" customHeight="1" x14ac:dyDescent="0.25">
      <c r="A55">
        <v>867990</v>
      </c>
      <c r="B55">
        <v>962</v>
      </c>
      <c r="C55">
        <v>53</v>
      </c>
      <c r="D55">
        <v>4657</v>
      </c>
      <c r="E55">
        <v>4554</v>
      </c>
      <c r="F55">
        <v>3</v>
      </c>
      <c r="G55">
        <v>53</v>
      </c>
      <c r="J55" t="s">
        <v>97</v>
      </c>
      <c r="K55" t="s">
        <v>34</v>
      </c>
      <c r="L55">
        <v>100</v>
      </c>
    </row>
    <row r="56" spans="1:12" ht="14.25" customHeight="1" x14ac:dyDescent="0.25">
      <c r="A56">
        <v>867992</v>
      </c>
      <c r="B56">
        <v>962</v>
      </c>
      <c r="C56">
        <v>53</v>
      </c>
      <c r="D56">
        <v>4660</v>
      </c>
      <c r="E56">
        <v>4559</v>
      </c>
      <c r="F56">
        <v>3</v>
      </c>
      <c r="G56">
        <v>53</v>
      </c>
      <c r="J56" t="s">
        <v>92</v>
      </c>
      <c r="K56" t="s">
        <v>33</v>
      </c>
      <c r="L56">
        <v>100</v>
      </c>
    </row>
    <row r="57" spans="1:12" ht="14.25" customHeight="1" x14ac:dyDescent="0.25">
      <c r="A57">
        <v>867993</v>
      </c>
      <c r="B57">
        <v>962</v>
      </c>
      <c r="C57">
        <v>53</v>
      </c>
      <c r="D57">
        <v>4665</v>
      </c>
      <c r="E57">
        <v>4564</v>
      </c>
      <c r="F57">
        <v>3</v>
      </c>
      <c r="G57">
        <v>53</v>
      </c>
      <c r="J57" t="s">
        <v>99</v>
      </c>
      <c r="K57" t="s">
        <v>35</v>
      </c>
      <c r="L57">
        <v>100</v>
      </c>
    </row>
    <row r="58" spans="1:12" ht="14.25" customHeight="1" x14ac:dyDescent="0.25">
      <c r="A58">
        <v>867991</v>
      </c>
      <c r="B58">
        <v>962</v>
      </c>
      <c r="C58">
        <v>53</v>
      </c>
      <c r="D58">
        <v>4651</v>
      </c>
      <c r="E58">
        <v>4546</v>
      </c>
      <c r="F58">
        <v>3</v>
      </c>
      <c r="G58">
        <v>53</v>
      </c>
      <c r="J58" t="s">
        <v>88</v>
      </c>
      <c r="K58" t="s">
        <v>32</v>
      </c>
      <c r="L58">
        <v>100</v>
      </c>
    </row>
    <row r="59" spans="1:12" ht="14.25" customHeight="1" x14ac:dyDescent="0.25">
      <c r="A59">
        <v>867131</v>
      </c>
      <c r="B59">
        <v>963</v>
      </c>
      <c r="C59">
        <v>53</v>
      </c>
      <c r="D59">
        <v>4662</v>
      </c>
      <c r="E59">
        <v>4561</v>
      </c>
      <c r="F59">
        <v>3</v>
      </c>
      <c r="G59">
        <v>53</v>
      </c>
      <c r="J59" t="s">
        <v>95</v>
      </c>
      <c r="L59">
        <v>100</v>
      </c>
    </row>
    <row r="60" spans="1:12" ht="14.25" customHeight="1" x14ac:dyDescent="0.25">
      <c r="A60">
        <v>865861</v>
      </c>
      <c r="B60">
        <v>964</v>
      </c>
      <c r="C60">
        <v>53</v>
      </c>
      <c r="D60">
        <v>4650</v>
      </c>
      <c r="E60">
        <v>4548</v>
      </c>
      <c r="F60">
        <v>3</v>
      </c>
      <c r="G60">
        <v>53</v>
      </c>
      <c r="J60" t="s">
        <v>89</v>
      </c>
      <c r="K60" t="s">
        <v>32</v>
      </c>
      <c r="L60">
        <v>100</v>
      </c>
    </row>
    <row r="61" spans="1:12" ht="14.25" customHeight="1" x14ac:dyDescent="0.25">
      <c r="A61">
        <v>865857</v>
      </c>
      <c r="B61">
        <v>964</v>
      </c>
      <c r="C61">
        <v>53</v>
      </c>
      <c r="D61">
        <v>4675</v>
      </c>
      <c r="E61">
        <v>4574</v>
      </c>
      <c r="F61">
        <v>3</v>
      </c>
      <c r="G61">
        <v>53</v>
      </c>
      <c r="J61" t="s">
        <v>93</v>
      </c>
      <c r="L61">
        <v>100</v>
      </c>
    </row>
    <row r="62" spans="1:12" ht="14.25" customHeight="1" x14ac:dyDescent="0.25">
      <c r="A62">
        <v>867656</v>
      </c>
      <c r="B62">
        <v>963</v>
      </c>
      <c r="C62">
        <v>94</v>
      </c>
      <c r="D62">
        <v>4648</v>
      </c>
      <c r="E62">
        <v>4549</v>
      </c>
      <c r="F62">
        <v>3</v>
      </c>
      <c r="G62">
        <v>94</v>
      </c>
      <c r="H62" t="s">
        <v>61</v>
      </c>
      <c r="I62" s="2" t="s">
        <v>62</v>
      </c>
      <c r="J62" t="s">
        <v>86</v>
      </c>
      <c r="K62" t="s">
        <v>32</v>
      </c>
      <c r="L62">
        <v>2042</v>
      </c>
    </row>
    <row r="63" spans="1:12" ht="14.25" customHeight="1" x14ac:dyDescent="0.25">
      <c r="A63">
        <v>867660</v>
      </c>
      <c r="B63">
        <v>963</v>
      </c>
      <c r="C63">
        <v>94</v>
      </c>
      <c r="D63">
        <v>4652</v>
      </c>
      <c r="E63">
        <v>4550</v>
      </c>
      <c r="F63">
        <v>3</v>
      </c>
      <c r="G63">
        <v>94</v>
      </c>
      <c r="J63" t="s">
        <v>91</v>
      </c>
      <c r="K63" t="s">
        <v>33</v>
      </c>
      <c r="L63">
        <v>1878</v>
      </c>
    </row>
    <row r="64" spans="1:12" ht="14.25" customHeight="1" x14ac:dyDescent="0.25">
      <c r="A64">
        <v>867567</v>
      </c>
      <c r="B64">
        <v>961</v>
      </c>
      <c r="C64">
        <v>94</v>
      </c>
      <c r="D64">
        <v>4649</v>
      </c>
      <c r="E64">
        <v>4547</v>
      </c>
      <c r="F64">
        <v>3</v>
      </c>
      <c r="G64">
        <v>94</v>
      </c>
      <c r="J64" t="s">
        <v>87</v>
      </c>
      <c r="L64">
        <v>510</v>
      </c>
    </row>
    <row r="65" spans="1:12" ht="14.25" customHeight="1" x14ac:dyDescent="0.25">
      <c r="A65">
        <v>867563</v>
      </c>
      <c r="B65">
        <v>961</v>
      </c>
      <c r="C65">
        <v>94</v>
      </c>
      <c r="D65">
        <v>4658</v>
      </c>
      <c r="E65">
        <v>4557</v>
      </c>
      <c r="F65">
        <v>3</v>
      </c>
      <c r="G65">
        <v>94</v>
      </c>
      <c r="J65" t="s">
        <v>98</v>
      </c>
      <c r="K65" t="s">
        <v>35</v>
      </c>
      <c r="L65">
        <v>2073</v>
      </c>
    </row>
    <row r="66" spans="1:12" ht="14.25" customHeight="1" x14ac:dyDescent="0.25">
      <c r="A66">
        <v>867571</v>
      </c>
      <c r="B66">
        <v>961</v>
      </c>
      <c r="C66">
        <v>94</v>
      </c>
      <c r="D66">
        <v>4653</v>
      </c>
      <c r="E66">
        <v>4551</v>
      </c>
      <c r="F66">
        <v>3</v>
      </c>
      <c r="G66">
        <v>94</v>
      </c>
      <c r="J66" t="s">
        <v>96</v>
      </c>
      <c r="K66" t="s">
        <v>34</v>
      </c>
      <c r="L66">
        <v>1087</v>
      </c>
    </row>
    <row r="67" spans="1:12" ht="14.25" customHeight="1" x14ac:dyDescent="0.25">
      <c r="A67">
        <v>867447</v>
      </c>
      <c r="B67">
        <v>960</v>
      </c>
      <c r="C67">
        <v>94</v>
      </c>
      <c r="D67">
        <v>4647</v>
      </c>
      <c r="E67">
        <v>4545</v>
      </c>
      <c r="F67">
        <v>3</v>
      </c>
      <c r="G67">
        <v>94</v>
      </c>
      <c r="J67" t="s">
        <v>85</v>
      </c>
      <c r="K67" t="s">
        <v>32</v>
      </c>
      <c r="L67">
        <v>961</v>
      </c>
    </row>
    <row r="68" spans="1:12" ht="14.25" customHeight="1" x14ac:dyDescent="0.25">
      <c r="A68">
        <v>867455</v>
      </c>
      <c r="B68">
        <v>960</v>
      </c>
      <c r="C68">
        <v>94</v>
      </c>
      <c r="D68">
        <v>4659</v>
      </c>
      <c r="E68">
        <v>4558</v>
      </c>
      <c r="F68">
        <v>3</v>
      </c>
      <c r="G68">
        <v>94</v>
      </c>
      <c r="J68" t="s">
        <v>94</v>
      </c>
      <c r="L68">
        <v>1400</v>
      </c>
    </row>
    <row r="69" spans="1:12" ht="14.25" customHeight="1" x14ac:dyDescent="0.25">
      <c r="A69">
        <v>867451</v>
      </c>
      <c r="B69">
        <v>960</v>
      </c>
      <c r="C69">
        <v>94</v>
      </c>
      <c r="D69">
        <v>4656</v>
      </c>
      <c r="E69">
        <v>4555</v>
      </c>
      <c r="F69">
        <v>3</v>
      </c>
      <c r="G69">
        <v>94</v>
      </c>
      <c r="J69" t="s">
        <v>90</v>
      </c>
      <c r="K69" t="s">
        <v>33</v>
      </c>
      <c r="L69">
        <v>1111</v>
      </c>
    </row>
    <row r="70" spans="1:12" ht="14.25" customHeight="1" x14ac:dyDescent="0.25">
      <c r="A70">
        <v>868156</v>
      </c>
      <c r="B70">
        <v>962</v>
      </c>
      <c r="C70">
        <v>94</v>
      </c>
      <c r="D70">
        <v>4657</v>
      </c>
      <c r="E70">
        <v>4554</v>
      </c>
      <c r="F70">
        <v>3</v>
      </c>
      <c r="G70">
        <v>94</v>
      </c>
      <c r="J70" t="s">
        <v>97</v>
      </c>
      <c r="K70" t="s">
        <v>34</v>
      </c>
      <c r="L70">
        <v>1114</v>
      </c>
    </row>
    <row r="71" spans="1:12" ht="14.25" customHeight="1" x14ac:dyDescent="0.25">
      <c r="A71">
        <v>868158</v>
      </c>
      <c r="B71">
        <v>962</v>
      </c>
      <c r="C71">
        <v>94</v>
      </c>
      <c r="D71">
        <v>4660</v>
      </c>
      <c r="E71">
        <v>4559</v>
      </c>
      <c r="F71">
        <v>3</v>
      </c>
      <c r="G71">
        <v>94</v>
      </c>
      <c r="J71" t="s">
        <v>92</v>
      </c>
      <c r="K71" t="s">
        <v>33</v>
      </c>
      <c r="L71">
        <v>1383</v>
      </c>
    </row>
    <row r="72" spans="1:12" ht="14.25" customHeight="1" x14ac:dyDescent="0.25">
      <c r="A72">
        <v>868159</v>
      </c>
      <c r="B72">
        <v>962</v>
      </c>
      <c r="C72">
        <v>94</v>
      </c>
      <c r="D72">
        <v>4665</v>
      </c>
      <c r="E72">
        <v>4564</v>
      </c>
      <c r="F72">
        <v>3</v>
      </c>
      <c r="G72">
        <v>94</v>
      </c>
      <c r="J72" t="s">
        <v>99</v>
      </c>
      <c r="K72" t="s">
        <v>35</v>
      </c>
      <c r="L72">
        <v>1424</v>
      </c>
    </row>
    <row r="73" spans="1:12" ht="14.25" customHeight="1" x14ac:dyDescent="0.25">
      <c r="A73">
        <v>868157</v>
      </c>
      <c r="B73">
        <v>962</v>
      </c>
      <c r="C73">
        <v>94</v>
      </c>
      <c r="D73">
        <v>4651</v>
      </c>
      <c r="E73">
        <v>4546</v>
      </c>
      <c r="F73">
        <v>3</v>
      </c>
      <c r="G73">
        <v>94</v>
      </c>
      <c r="J73" t="s">
        <v>88</v>
      </c>
      <c r="K73" t="s">
        <v>32</v>
      </c>
      <c r="L73">
        <v>1073</v>
      </c>
    </row>
    <row r="74" spans="1:12" ht="14.25" customHeight="1" x14ac:dyDescent="0.25">
      <c r="A74">
        <v>867664</v>
      </c>
      <c r="B74">
        <v>963</v>
      </c>
      <c r="C74">
        <v>94</v>
      </c>
      <c r="D74">
        <v>4662</v>
      </c>
      <c r="E74">
        <v>4561</v>
      </c>
      <c r="F74">
        <v>3</v>
      </c>
      <c r="G74">
        <v>94</v>
      </c>
      <c r="J74" t="s">
        <v>95</v>
      </c>
      <c r="L74">
        <v>1197</v>
      </c>
    </row>
    <row r="75" spans="1:12" ht="14.25" customHeight="1" x14ac:dyDescent="0.25">
      <c r="A75">
        <v>866319</v>
      </c>
      <c r="B75">
        <v>964</v>
      </c>
      <c r="C75">
        <v>94</v>
      </c>
      <c r="D75">
        <v>4650</v>
      </c>
      <c r="E75">
        <v>4548</v>
      </c>
      <c r="F75">
        <v>3</v>
      </c>
      <c r="G75">
        <v>94</v>
      </c>
      <c r="J75" t="s">
        <v>89</v>
      </c>
      <c r="K75" t="s">
        <v>32</v>
      </c>
      <c r="L75">
        <v>1161</v>
      </c>
    </row>
    <row r="76" spans="1:12" ht="14.25" customHeight="1" x14ac:dyDescent="0.25">
      <c r="A76">
        <v>866314</v>
      </c>
      <c r="B76">
        <v>964</v>
      </c>
      <c r="C76">
        <v>94</v>
      </c>
      <c r="D76">
        <v>4675</v>
      </c>
      <c r="E76">
        <v>4574</v>
      </c>
      <c r="F76">
        <v>3</v>
      </c>
      <c r="G76">
        <v>94</v>
      </c>
      <c r="J76" t="s">
        <v>93</v>
      </c>
      <c r="L76">
        <v>767</v>
      </c>
    </row>
    <row r="77" spans="1:12" ht="14.25" customHeight="1" x14ac:dyDescent="0.25">
      <c r="A77">
        <v>867626</v>
      </c>
      <c r="B77">
        <v>963</v>
      </c>
      <c r="C77">
        <v>95</v>
      </c>
      <c r="D77">
        <v>4648</v>
      </c>
      <c r="E77">
        <v>4549</v>
      </c>
      <c r="F77">
        <v>3</v>
      </c>
      <c r="G77">
        <v>95</v>
      </c>
      <c r="H77" t="s">
        <v>63</v>
      </c>
      <c r="I77" s="2" t="s">
        <v>64</v>
      </c>
      <c r="J77" t="s">
        <v>86</v>
      </c>
      <c r="K77" t="s">
        <v>32</v>
      </c>
      <c r="L77">
        <v>190</v>
      </c>
    </row>
    <row r="78" spans="1:12" ht="14.25" customHeight="1" x14ac:dyDescent="0.25">
      <c r="A78">
        <v>867630</v>
      </c>
      <c r="B78">
        <v>963</v>
      </c>
      <c r="C78">
        <v>95</v>
      </c>
      <c r="D78">
        <v>4652</v>
      </c>
      <c r="E78">
        <v>4550</v>
      </c>
      <c r="F78">
        <v>3</v>
      </c>
      <c r="G78">
        <v>95</v>
      </c>
      <c r="J78" t="s">
        <v>91</v>
      </c>
      <c r="K78" t="s">
        <v>33</v>
      </c>
      <c r="L78">
        <v>152</v>
      </c>
    </row>
    <row r="79" spans="1:12" ht="14.25" customHeight="1" x14ac:dyDescent="0.25">
      <c r="A79">
        <v>867539</v>
      </c>
      <c r="B79">
        <v>961</v>
      </c>
      <c r="C79">
        <v>95</v>
      </c>
      <c r="D79">
        <v>4649</v>
      </c>
      <c r="E79">
        <v>4547</v>
      </c>
      <c r="F79">
        <v>3</v>
      </c>
      <c r="G79">
        <v>95</v>
      </c>
      <c r="J79" t="s">
        <v>87</v>
      </c>
      <c r="L79">
        <v>96</v>
      </c>
    </row>
    <row r="80" spans="1:12" ht="14.25" customHeight="1" x14ac:dyDescent="0.25">
      <c r="A80">
        <v>867535</v>
      </c>
      <c r="B80">
        <v>961</v>
      </c>
      <c r="C80">
        <v>95</v>
      </c>
      <c r="D80">
        <v>4658</v>
      </c>
      <c r="E80">
        <v>4557</v>
      </c>
      <c r="F80">
        <v>3</v>
      </c>
      <c r="G80">
        <v>95</v>
      </c>
      <c r="J80" t="s">
        <v>98</v>
      </c>
      <c r="K80" t="s">
        <v>35</v>
      </c>
      <c r="L80">
        <v>134</v>
      </c>
    </row>
    <row r="81" spans="1:12" ht="14.25" customHeight="1" x14ac:dyDescent="0.25">
      <c r="A81">
        <v>867543</v>
      </c>
      <c r="B81">
        <v>961</v>
      </c>
      <c r="C81">
        <v>95</v>
      </c>
      <c r="D81">
        <v>4653</v>
      </c>
      <c r="E81">
        <v>4551</v>
      </c>
      <c r="F81">
        <v>3</v>
      </c>
      <c r="G81">
        <v>95</v>
      </c>
      <c r="J81" t="s">
        <v>96</v>
      </c>
      <c r="K81" t="s">
        <v>34</v>
      </c>
      <c r="L81">
        <v>128</v>
      </c>
    </row>
    <row r="82" spans="1:12" ht="14.25" customHeight="1" x14ac:dyDescent="0.25">
      <c r="A82">
        <v>867419</v>
      </c>
      <c r="B82">
        <v>960</v>
      </c>
      <c r="C82">
        <v>95</v>
      </c>
      <c r="D82">
        <v>4647</v>
      </c>
      <c r="E82">
        <v>4545</v>
      </c>
      <c r="F82">
        <v>3</v>
      </c>
      <c r="G82">
        <v>95</v>
      </c>
      <c r="J82" t="s">
        <v>85</v>
      </c>
      <c r="K82" t="s">
        <v>32</v>
      </c>
      <c r="L82">
        <v>115</v>
      </c>
    </row>
    <row r="83" spans="1:12" ht="14.25" customHeight="1" x14ac:dyDescent="0.25">
      <c r="A83">
        <v>867427</v>
      </c>
      <c r="B83">
        <v>960</v>
      </c>
      <c r="C83">
        <v>95</v>
      </c>
      <c r="D83">
        <v>4659</v>
      </c>
      <c r="E83">
        <v>4558</v>
      </c>
      <c r="F83">
        <v>3</v>
      </c>
      <c r="G83">
        <v>95</v>
      </c>
      <c r="J83" t="s">
        <v>94</v>
      </c>
      <c r="L83">
        <v>125</v>
      </c>
    </row>
    <row r="84" spans="1:12" ht="14.25" customHeight="1" x14ac:dyDescent="0.25">
      <c r="A84">
        <v>867423</v>
      </c>
      <c r="B84">
        <v>960</v>
      </c>
      <c r="C84">
        <v>95</v>
      </c>
      <c r="D84">
        <v>4656</v>
      </c>
      <c r="E84">
        <v>4555</v>
      </c>
      <c r="F84">
        <v>3</v>
      </c>
      <c r="G84">
        <v>95</v>
      </c>
      <c r="J84" t="s">
        <v>90</v>
      </c>
      <c r="K84" t="s">
        <v>33</v>
      </c>
      <c r="L84">
        <v>100</v>
      </c>
    </row>
    <row r="85" spans="1:12" ht="14.25" customHeight="1" x14ac:dyDescent="0.25">
      <c r="A85">
        <v>868147</v>
      </c>
      <c r="B85">
        <v>962</v>
      </c>
      <c r="C85">
        <v>95</v>
      </c>
      <c r="D85">
        <v>4657</v>
      </c>
      <c r="E85">
        <v>4554</v>
      </c>
      <c r="F85">
        <v>3</v>
      </c>
      <c r="G85">
        <v>95</v>
      </c>
      <c r="J85" t="s">
        <v>97</v>
      </c>
      <c r="K85" t="s">
        <v>34</v>
      </c>
      <c r="L85">
        <v>70</v>
      </c>
    </row>
    <row r="86" spans="1:12" ht="14.25" customHeight="1" x14ac:dyDescent="0.25">
      <c r="A86">
        <v>868149</v>
      </c>
      <c r="B86">
        <v>962</v>
      </c>
      <c r="C86">
        <v>95</v>
      </c>
      <c r="D86">
        <v>4660</v>
      </c>
      <c r="E86">
        <v>4559</v>
      </c>
      <c r="F86">
        <v>3</v>
      </c>
      <c r="G86">
        <v>95</v>
      </c>
      <c r="J86" t="s">
        <v>92</v>
      </c>
      <c r="K86" t="s">
        <v>33</v>
      </c>
      <c r="L86">
        <v>84</v>
      </c>
    </row>
    <row r="87" spans="1:12" ht="14.25" customHeight="1" x14ac:dyDescent="0.25">
      <c r="A87">
        <v>868150</v>
      </c>
      <c r="B87">
        <v>962</v>
      </c>
      <c r="C87">
        <v>95</v>
      </c>
      <c r="D87">
        <v>4665</v>
      </c>
      <c r="E87">
        <v>4564</v>
      </c>
      <c r="F87">
        <v>3</v>
      </c>
      <c r="G87">
        <v>95</v>
      </c>
      <c r="J87" t="s">
        <v>99</v>
      </c>
      <c r="K87" t="s">
        <v>35</v>
      </c>
      <c r="L87">
        <v>99</v>
      </c>
    </row>
    <row r="88" spans="1:12" ht="14.25" customHeight="1" x14ac:dyDescent="0.25">
      <c r="A88">
        <v>868148</v>
      </c>
      <c r="B88">
        <v>962</v>
      </c>
      <c r="C88">
        <v>95</v>
      </c>
      <c r="D88">
        <v>4651</v>
      </c>
      <c r="E88">
        <v>4546</v>
      </c>
      <c r="F88">
        <v>3</v>
      </c>
      <c r="G88">
        <v>95</v>
      </c>
      <c r="J88" t="s">
        <v>88</v>
      </c>
      <c r="K88" t="s">
        <v>32</v>
      </c>
      <c r="L88">
        <v>88</v>
      </c>
    </row>
    <row r="89" spans="1:12" ht="14.25" customHeight="1" x14ac:dyDescent="0.25">
      <c r="A89">
        <v>867633</v>
      </c>
      <c r="B89">
        <v>963</v>
      </c>
      <c r="C89">
        <v>95</v>
      </c>
      <c r="D89">
        <v>4662</v>
      </c>
      <c r="E89">
        <v>4561</v>
      </c>
      <c r="F89">
        <v>3</v>
      </c>
      <c r="G89">
        <v>95</v>
      </c>
      <c r="J89" t="s">
        <v>95</v>
      </c>
      <c r="L89">
        <v>130</v>
      </c>
    </row>
    <row r="90" spans="1:12" ht="14.25" customHeight="1" x14ac:dyDescent="0.25">
      <c r="A90">
        <v>866293</v>
      </c>
      <c r="B90">
        <v>964</v>
      </c>
      <c r="C90">
        <v>95</v>
      </c>
      <c r="D90">
        <v>4650</v>
      </c>
      <c r="E90">
        <v>4548</v>
      </c>
      <c r="F90">
        <v>3</v>
      </c>
      <c r="G90">
        <v>95</v>
      </c>
      <c r="J90" t="s">
        <v>89</v>
      </c>
      <c r="K90" t="s">
        <v>32</v>
      </c>
      <c r="L90">
        <v>132</v>
      </c>
    </row>
    <row r="91" spans="1:12" ht="14.25" customHeight="1" x14ac:dyDescent="0.25">
      <c r="A91">
        <v>866288</v>
      </c>
      <c r="B91">
        <v>964</v>
      </c>
      <c r="C91">
        <v>95</v>
      </c>
      <c r="D91">
        <v>4675</v>
      </c>
      <c r="E91">
        <v>4574</v>
      </c>
      <c r="F91">
        <v>3</v>
      </c>
      <c r="G91">
        <v>95</v>
      </c>
      <c r="J91" t="s">
        <v>93</v>
      </c>
      <c r="L91">
        <v>110</v>
      </c>
    </row>
    <row r="92" spans="1:12" ht="14.25" customHeight="1" x14ac:dyDescent="0.25">
      <c r="A92">
        <v>866494</v>
      </c>
      <c r="B92">
        <v>963</v>
      </c>
      <c r="C92">
        <v>309</v>
      </c>
      <c r="D92">
        <v>4648</v>
      </c>
      <c r="E92">
        <v>4549</v>
      </c>
      <c r="F92">
        <v>3</v>
      </c>
      <c r="G92">
        <v>309</v>
      </c>
      <c r="H92" t="s">
        <v>65</v>
      </c>
      <c r="I92" s="2" t="s">
        <v>66</v>
      </c>
      <c r="J92" t="s">
        <v>86</v>
      </c>
      <c r="K92" t="s">
        <v>32</v>
      </c>
      <c r="L92">
        <v>44</v>
      </c>
    </row>
    <row r="93" spans="1:12" ht="14.25" customHeight="1" x14ac:dyDescent="0.25">
      <c r="A93">
        <v>866499</v>
      </c>
      <c r="B93">
        <v>963</v>
      </c>
      <c r="C93">
        <v>309</v>
      </c>
      <c r="D93">
        <v>4652</v>
      </c>
      <c r="E93">
        <v>4550</v>
      </c>
      <c r="F93">
        <v>3</v>
      </c>
      <c r="G93">
        <v>309</v>
      </c>
      <c r="J93" t="s">
        <v>91</v>
      </c>
      <c r="K93" t="s">
        <v>33</v>
      </c>
      <c r="L93">
        <v>18</v>
      </c>
    </row>
    <row r="94" spans="1:12" ht="14.25" customHeight="1" x14ac:dyDescent="0.25">
      <c r="A94">
        <v>866430</v>
      </c>
      <c r="B94">
        <v>961</v>
      </c>
      <c r="C94">
        <v>309</v>
      </c>
      <c r="D94">
        <v>4649</v>
      </c>
      <c r="E94">
        <v>4547</v>
      </c>
      <c r="F94">
        <v>3</v>
      </c>
      <c r="G94">
        <v>309</v>
      </c>
      <c r="J94" t="s">
        <v>87</v>
      </c>
      <c r="L94">
        <v>48</v>
      </c>
    </row>
    <row r="95" spans="1:12" ht="14.25" customHeight="1" x14ac:dyDescent="0.25">
      <c r="A95">
        <v>866425</v>
      </c>
      <c r="B95">
        <v>961</v>
      </c>
      <c r="C95">
        <v>309</v>
      </c>
      <c r="D95">
        <v>4658</v>
      </c>
      <c r="E95">
        <v>4557</v>
      </c>
      <c r="F95">
        <v>3</v>
      </c>
      <c r="G95">
        <v>309</v>
      </c>
      <c r="J95" t="s">
        <v>98</v>
      </c>
      <c r="K95" t="s">
        <v>35</v>
      </c>
      <c r="L95">
        <v>27</v>
      </c>
    </row>
    <row r="96" spans="1:12" ht="14.25" customHeight="1" x14ac:dyDescent="0.25">
      <c r="A96">
        <v>866435</v>
      </c>
      <c r="B96">
        <v>961</v>
      </c>
      <c r="C96">
        <v>309</v>
      </c>
      <c r="D96">
        <v>4653</v>
      </c>
      <c r="E96">
        <v>4551</v>
      </c>
      <c r="F96">
        <v>3</v>
      </c>
      <c r="G96">
        <v>309</v>
      </c>
      <c r="J96" t="s">
        <v>96</v>
      </c>
      <c r="K96" t="s">
        <v>34</v>
      </c>
      <c r="L96">
        <v>34</v>
      </c>
    </row>
    <row r="97" spans="1:12" ht="14.25" customHeight="1" x14ac:dyDescent="0.25">
      <c r="A97">
        <v>866279</v>
      </c>
      <c r="B97">
        <v>960</v>
      </c>
      <c r="C97">
        <v>309</v>
      </c>
      <c r="D97">
        <v>4647</v>
      </c>
      <c r="E97">
        <v>4545</v>
      </c>
      <c r="F97">
        <v>3</v>
      </c>
      <c r="G97">
        <v>309</v>
      </c>
      <c r="J97" t="s">
        <v>85</v>
      </c>
      <c r="K97" t="s">
        <v>32</v>
      </c>
      <c r="L97">
        <v>27</v>
      </c>
    </row>
    <row r="98" spans="1:12" ht="14.25" customHeight="1" x14ac:dyDescent="0.25">
      <c r="A98">
        <v>866289</v>
      </c>
      <c r="B98">
        <v>960</v>
      </c>
      <c r="C98">
        <v>309</v>
      </c>
      <c r="D98">
        <v>4659</v>
      </c>
      <c r="E98">
        <v>4558</v>
      </c>
      <c r="F98">
        <v>3</v>
      </c>
      <c r="G98">
        <v>309</v>
      </c>
      <c r="J98" t="s">
        <v>94</v>
      </c>
      <c r="L98">
        <v>34</v>
      </c>
    </row>
    <row r="99" spans="1:12" ht="14.25" customHeight="1" x14ac:dyDescent="0.25">
      <c r="A99">
        <v>866284</v>
      </c>
      <c r="B99">
        <v>960</v>
      </c>
      <c r="C99">
        <v>309</v>
      </c>
      <c r="D99">
        <v>4656</v>
      </c>
      <c r="E99">
        <v>4555</v>
      </c>
      <c r="F99">
        <v>3</v>
      </c>
      <c r="G99">
        <v>309</v>
      </c>
      <c r="J99" t="s">
        <v>90</v>
      </c>
      <c r="K99" t="s">
        <v>33</v>
      </c>
      <c r="L99">
        <v>25</v>
      </c>
    </row>
    <row r="100" spans="1:12" ht="14.25" customHeight="1" x14ac:dyDescent="0.25">
      <c r="A100">
        <v>867346</v>
      </c>
      <c r="B100">
        <v>962</v>
      </c>
      <c r="C100">
        <v>309</v>
      </c>
      <c r="D100">
        <v>4657</v>
      </c>
      <c r="E100">
        <v>4554</v>
      </c>
      <c r="F100">
        <v>3</v>
      </c>
      <c r="G100">
        <v>309</v>
      </c>
      <c r="J100" t="s">
        <v>97</v>
      </c>
      <c r="K100" t="s">
        <v>34</v>
      </c>
      <c r="L100">
        <v>12</v>
      </c>
    </row>
    <row r="101" spans="1:12" ht="14.25" customHeight="1" x14ac:dyDescent="0.25">
      <c r="A101">
        <v>867353</v>
      </c>
      <c r="B101">
        <v>962</v>
      </c>
      <c r="C101">
        <v>309</v>
      </c>
      <c r="D101">
        <v>4660</v>
      </c>
      <c r="E101">
        <v>4559</v>
      </c>
      <c r="F101">
        <v>3</v>
      </c>
      <c r="G101">
        <v>309</v>
      </c>
      <c r="J101" t="s">
        <v>92</v>
      </c>
      <c r="K101" t="s">
        <v>33</v>
      </c>
      <c r="L101">
        <v>11</v>
      </c>
    </row>
    <row r="102" spans="1:12" ht="14.25" customHeight="1" x14ac:dyDescent="0.25">
      <c r="A102">
        <v>867358</v>
      </c>
      <c r="B102">
        <v>962</v>
      </c>
      <c r="C102">
        <v>309</v>
      </c>
      <c r="D102">
        <v>4665</v>
      </c>
      <c r="E102">
        <v>4564</v>
      </c>
      <c r="F102">
        <v>3</v>
      </c>
      <c r="G102">
        <v>309</v>
      </c>
      <c r="J102" t="s">
        <v>99</v>
      </c>
      <c r="K102" t="s">
        <v>35</v>
      </c>
      <c r="L102">
        <v>17</v>
      </c>
    </row>
    <row r="103" spans="1:12" ht="14.25" customHeight="1" x14ac:dyDescent="0.25">
      <c r="A103">
        <v>867349</v>
      </c>
      <c r="B103">
        <v>962</v>
      </c>
      <c r="C103">
        <v>309</v>
      </c>
      <c r="D103">
        <v>4651</v>
      </c>
      <c r="E103">
        <v>4546</v>
      </c>
      <c r="F103">
        <v>3</v>
      </c>
      <c r="G103">
        <v>309</v>
      </c>
      <c r="J103" t="s">
        <v>88</v>
      </c>
      <c r="K103" t="s">
        <v>32</v>
      </c>
      <c r="L103">
        <v>15</v>
      </c>
    </row>
    <row r="104" spans="1:12" ht="14.25" customHeight="1" x14ac:dyDescent="0.25">
      <c r="A104">
        <v>866504</v>
      </c>
      <c r="B104">
        <v>963</v>
      </c>
      <c r="C104">
        <v>309</v>
      </c>
      <c r="D104">
        <v>4662</v>
      </c>
      <c r="E104">
        <v>4561</v>
      </c>
      <c r="F104">
        <v>3</v>
      </c>
      <c r="G104">
        <v>309</v>
      </c>
      <c r="J104" t="s">
        <v>95</v>
      </c>
      <c r="L104">
        <v>27</v>
      </c>
    </row>
    <row r="105" spans="1:12" ht="14.25" customHeight="1" x14ac:dyDescent="0.25">
      <c r="A105">
        <v>865465</v>
      </c>
      <c r="B105">
        <v>964</v>
      </c>
      <c r="C105">
        <v>309</v>
      </c>
      <c r="D105">
        <v>4650</v>
      </c>
      <c r="E105">
        <v>4548</v>
      </c>
      <c r="F105">
        <v>3</v>
      </c>
      <c r="G105">
        <v>309</v>
      </c>
      <c r="J105" t="s">
        <v>89</v>
      </c>
      <c r="K105" t="s">
        <v>32</v>
      </c>
      <c r="L105">
        <v>52</v>
      </c>
    </row>
    <row r="106" spans="1:12" ht="14.25" customHeight="1" x14ac:dyDescent="0.25">
      <c r="A106">
        <v>865461</v>
      </c>
      <c r="B106">
        <v>964</v>
      </c>
      <c r="C106">
        <v>309</v>
      </c>
      <c r="D106">
        <v>4675</v>
      </c>
      <c r="E106">
        <v>4574</v>
      </c>
      <c r="F106">
        <v>3</v>
      </c>
      <c r="G106">
        <v>309</v>
      </c>
      <c r="J106" t="s">
        <v>93</v>
      </c>
      <c r="L106">
        <v>52</v>
      </c>
    </row>
    <row r="107" spans="1:12" ht="14.25" customHeight="1" x14ac:dyDescent="0.25">
      <c r="A107">
        <v>865892</v>
      </c>
      <c r="B107">
        <v>963</v>
      </c>
      <c r="C107">
        <v>310</v>
      </c>
      <c r="D107">
        <v>4648</v>
      </c>
      <c r="E107">
        <v>4549</v>
      </c>
      <c r="F107">
        <v>3</v>
      </c>
      <c r="G107">
        <v>310</v>
      </c>
      <c r="H107" t="s">
        <v>67</v>
      </c>
      <c r="I107" s="2" t="s">
        <v>68</v>
      </c>
      <c r="J107" t="s">
        <v>86</v>
      </c>
      <c r="K107" t="s">
        <v>32</v>
      </c>
      <c r="L107">
        <v>0</v>
      </c>
    </row>
    <row r="108" spans="1:12" ht="14.25" customHeight="1" x14ac:dyDescent="0.25">
      <c r="A108">
        <v>865897</v>
      </c>
      <c r="B108">
        <v>963</v>
      </c>
      <c r="C108">
        <v>310</v>
      </c>
      <c r="D108">
        <v>4652</v>
      </c>
      <c r="E108">
        <v>4550</v>
      </c>
      <c r="F108">
        <v>3</v>
      </c>
      <c r="G108">
        <v>310</v>
      </c>
      <c r="J108" t="s">
        <v>91</v>
      </c>
      <c r="K108" t="s">
        <v>33</v>
      </c>
      <c r="L108">
        <v>0</v>
      </c>
    </row>
    <row r="109" spans="1:12" ht="14.25" customHeight="1" x14ac:dyDescent="0.25">
      <c r="A109">
        <v>865858</v>
      </c>
      <c r="B109">
        <v>961</v>
      </c>
      <c r="C109">
        <v>310</v>
      </c>
      <c r="D109">
        <v>4649</v>
      </c>
      <c r="E109">
        <v>4547</v>
      </c>
      <c r="F109">
        <v>3</v>
      </c>
      <c r="G109">
        <v>310</v>
      </c>
      <c r="J109" t="s">
        <v>87</v>
      </c>
      <c r="L109">
        <v>0</v>
      </c>
    </row>
    <row r="110" spans="1:12" ht="14.25" customHeight="1" x14ac:dyDescent="0.25">
      <c r="A110">
        <v>865854</v>
      </c>
      <c r="B110">
        <v>961</v>
      </c>
      <c r="C110">
        <v>310</v>
      </c>
      <c r="D110">
        <v>4658</v>
      </c>
      <c r="E110">
        <v>4557</v>
      </c>
      <c r="F110">
        <v>3</v>
      </c>
      <c r="G110">
        <v>310</v>
      </c>
      <c r="J110" t="s">
        <v>98</v>
      </c>
      <c r="K110" t="s">
        <v>35</v>
      </c>
      <c r="L110">
        <v>1</v>
      </c>
    </row>
    <row r="111" spans="1:12" ht="14.25" customHeight="1" x14ac:dyDescent="0.25">
      <c r="A111">
        <v>865862</v>
      </c>
      <c r="B111">
        <v>961</v>
      </c>
      <c r="C111">
        <v>310</v>
      </c>
      <c r="D111">
        <v>4653</v>
      </c>
      <c r="E111">
        <v>4551</v>
      </c>
      <c r="F111">
        <v>3</v>
      </c>
      <c r="G111">
        <v>310</v>
      </c>
      <c r="J111" t="s">
        <v>96</v>
      </c>
      <c r="K111" t="s">
        <v>34</v>
      </c>
      <c r="L111">
        <v>0</v>
      </c>
    </row>
    <row r="112" spans="1:12" ht="14.25" customHeight="1" x14ac:dyDescent="0.25">
      <c r="A112">
        <v>865741</v>
      </c>
      <c r="B112">
        <v>960</v>
      </c>
      <c r="C112">
        <v>310</v>
      </c>
      <c r="D112">
        <v>4647</v>
      </c>
      <c r="E112">
        <v>4545</v>
      </c>
      <c r="F112">
        <v>3</v>
      </c>
      <c r="G112">
        <v>310</v>
      </c>
      <c r="J112" t="s">
        <v>85</v>
      </c>
      <c r="K112" t="s">
        <v>32</v>
      </c>
      <c r="L112">
        <v>0</v>
      </c>
    </row>
    <row r="113" spans="1:12" ht="14.25" customHeight="1" x14ac:dyDescent="0.25">
      <c r="A113">
        <v>865749</v>
      </c>
      <c r="B113">
        <v>960</v>
      </c>
      <c r="C113">
        <v>310</v>
      </c>
      <c r="D113">
        <v>4659</v>
      </c>
      <c r="E113">
        <v>4558</v>
      </c>
      <c r="F113">
        <v>3</v>
      </c>
      <c r="G113">
        <v>310</v>
      </c>
      <c r="J113" t="s">
        <v>94</v>
      </c>
      <c r="L113">
        <v>0</v>
      </c>
    </row>
    <row r="114" spans="1:12" ht="14.25" customHeight="1" x14ac:dyDescent="0.25">
      <c r="A114">
        <v>865745</v>
      </c>
      <c r="B114">
        <v>960</v>
      </c>
      <c r="C114">
        <v>310</v>
      </c>
      <c r="D114">
        <v>4656</v>
      </c>
      <c r="E114">
        <v>4555</v>
      </c>
      <c r="F114">
        <v>3</v>
      </c>
      <c r="G114">
        <v>310</v>
      </c>
      <c r="J114" t="s">
        <v>90</v>
      </c>
      <c r="K114" t="s">
        <v>33</v>
      </c>
      <c r="L114">
        <v>0</v>
      </c>
    </row>
    <row r="115" spans="1:12" ht="14.25" customHeight="1" x14ac:dyDescent="0.25">
      <c r="A115">
        <v>866738</v>
      </c>
      <c r="B115">
        <v>962</v>
      </c>
      <c r="C115">
        <v>310</v>
      </c>
      <c r="D115">
        <v>4657</v>
      </c>
      <c r="E115">
        <v>4554</v>
      </c>
      <c r="F115">
        <v>3</v>
      </c>
      <c r="G115">
        <v>310</v>
      </c>
      <c r="J115" t="s">
        <v>97</v>
      </c>
      <c r="K115" t="s">
        <v>34</v>
      </c>
      <c r="L115">
        <v>0</v>
      </c>
    </row>
    <row r="116" spans="1:12" ht="14.25" customHeight="1" x14ac:dyDescent="0.25">
      <c r="A116">
        <v>866747</v>
      </c>
      <c r="B116">
        <v>962</v>
      </c>
      <c r="C116">
        <v>310</v>
      </c>
      <c r="D116">
        <v>4660</v>
      </c>
      <c r="E116">
        <v>4559</v>
      </c>
      <c r="F116">
        <v>3</v>
      </c>
      <c r="G116">
        <v>310</v>
      </c>
      <c r="J116" t="s">
        <v>92</v>
      </c>
      <c r="K116" t="s">
        <v>33</v>
      </c>
      <c r="L116">
        <v>0</v>
      </c>
    </row>
    <row r="117" spans="1:12" ht="14.25" customHeight="1" x14ac:dyDescent="0.25">
      <c r="A117">
        <v>866751</v>
      </c>
      <c r="B117">
        <v>962</v>
      </c>
      <c r="C117">
        <v>310</v>
      </c>
      <c r="D117">
        <v>4665</v>
      </c>
      <c r="E117">
        <v>4564</v>
      </c>
      <c r="F117">
        <v>3</v>
      </c>
      <c r="G117">
        <v>310</v>
      </c>
      <c r="J117" t="s">
        <v>99</v>
      </c>
      <c r="K117" t="s">
        <v>35</v>
      </c>
      <c r="L117">
        <v>1</v>
      </c>
    </row>
    <row r="118" spans="1:12" ht="14.25" customHeight="1" x14ac:dyDescent="0.25">
      <c r="A118">
        <v>866742</v>
      </c>
      <c r="B118">
        <v>962</v>
      </c>
      <c r="C118">
        <v>310</v>
      </c>
      <c r="D118">
        <v>4651</v>
      </c>
      <c r="E118">
        <v>4546</v>
      </c>
      <c r="F118">
        <v>3</v>
      </c>
      <c r="G118">
        <v>310</v>
      </c>
      <c r="J118" t="s">
        <v>88</v>
      </c>
      <c r="K118" t="s">
        <v>32</v>
      </c>
      <c r="L118">
        <v>0</v>
      </c>
    </row>
    <row r="119" spans="1:12" ht="14.25" customHeight="1" x14ac:dyDescent="0.25">
      <c r="A119">
        <v>865901</v>
      </c>
      <c r="B119">
        <v>963</v>
      </c>
      <c r="C119">
        <v>310</v>
      </c>
      <c r="D119">
        <v>4662</v>
      </c>
      <c r="E119">
        <v>4561</v>
      </c>
      <c r="F119">
        <v>3</v>
      </c>
      <c r="G119">
        <v>310</v>
      </c>
      <c r="J119" t="s">
        <v>95</v>
      </c>
      <c r="L119">
        <v>0</v>
      </c>
    </row>
    <row r="120" spans="1:12" ht="14.25" customHeight="1" x14ac:dyDescent="0.25">
      <c r="A120">
        <v>865260</v>
      </c>
      <c r="B120">
        <v>964</v>
      </c>
      <c r="C120">
        <v>310</v>
      </c>
      <c r="D120">
        <v>4650</v>
      </c>
      <c r="E120">
        <v>4548</v>
      </c>
      <c r="F120">
        <v>3</v>
      </c>
      <c r="G120">
        <v>310</v>
      </c>
      <c r="J120" t="s">
        <v>89</v>
      </c>
      <c r="K120" t="s">
        <v>32</v>
      </c>
      <c r="L120">
        <v>0</v>
      </c>
    </row>
    <row r="121" spans="1:12" ht="14.25" customHeight="1" x14ac:dyDescent="0.25">
      <c r="A121">
        <v>865259</v>
      </c>
      <c r="B121">
        <v>964</v>
      </c>
      <c r="C121">
        <v>310</v>
      </c>
      <c r="D121">
        <v>4675</v>
      </c>
      <c r="E121">
        <v>4574</v>
      </c>
      <c r="F121">
        <v>3</v>
      </c>
      <c r="G121">
        <v>310</v>
      </c>
      <c r="J121" t="s">
        <v>93</v>
      </c>
      <c r="L121">
        <v>0</v>
      </c>
    </row>
    <row r="122" spans="1:12" ht="14.25" customHeight="1" x14ac:dyDescent="0.25">
      <c r="A122">
        <v>865913</v>
      </c>
      <c r="B122">
        <v>963</v>
      </c>
      <c r="C122">
        <v>311</v>
      </c>
      <c r="D122">
        <v>4648</v>
      </c>
      <c r="E122">
        <v>4549</v>
      </c>
      <c r="F122">
        <v>3</v>
      </c>
      <c r="G122">
        <v>311</v>
      </c>
      <c r="H122" t="s">
        <v>69</v>
      </c>
      <c r="I122" s="2" t="s">
        <v>70</v>
      </c>
      <c r="J122" t="s">
        <v>86</v>
      </c>
      <c r="K122" t="s">
        <v>32</v>
      </c>
      <c r="L122">
        <v>0</v>
      </c>
    </row>
    <row r="123" spans="1:12" ht="14.25" customHeight="1" x14ac:dyDescent="0.25">
      <c r="A123">
        <v>865917</v>
      </c>
      <c r="B123">
        <v>963</v>
      </c>
      <c r="C123">
        <v>311</v>
      </c>
      <c r="D123">
        <v>4652</v>
      </c>
      <c r="E123">
        <v>4550</v>
      </c>
      <c r="F123">
        <v>3</v>
      </c>
      <c r="G123">
        <v>311</v>
      </c>
      <c r="J123" t="s">
        <v>91</v>
      </c>
      <c r="K123" t="s">
        <v>33</v>
      </c>
      <c r="L123">
        <v>0</v>
      </c>
    </row>
    <row r="124" spans="1:12" ht="14.25" customHeight="1" x14ac:dyDescent="0.25">
      <c r="A124">
        <v>865878</v>
      </c>
      <c r="B124">
        <v>961</v>
      </c>
      <c r="C124">
        <v>311</v>
      </c>
      <c r="D124">
        <v>4649</v>
      </c>
      <c r="E124">
        <v>4547</v>
      </c>
      <c r="F124">
        <v>3</v>
      </c>
      <c r="G124">
        <v>311</v>
      </c>
      <c r="J124" t="s">
        <v>87</v>
      </c>
      <c r="L124">
        <v>0</v>
      </c>
    </row>
    <row r="125" spans="1:12" ht="14.25" customHeight="1" x14ac:dyDescent="0.25">
      <c r="A125">
        <v>865874</v>
      </c>
      <c r="B125">
        <v>961</v>
      </c>
      <c r="C125">
        <v>311</v>
      </c>
      <c r="D125">
        <v>4658</v>
      </c>
      <c r="E125">
        <v>4557</v>
      </c>
      <c r="F125">
        <v>3</v>
      </c>
      <c r="G125">
        <v>311</v>
      </c>
      <c r="J125" t="s">
        <v>98</v>
      </c>
      <c r="K125" t="s">
        <v>35</v>
      </c>
      <c r="L125">
        <v>0</v>
      </c>
    </row>
    <row r="126" spans="1:12" ht="14.25" customHeight="1" x14ac:dyDescent="0.25">
      <c r="A126">
        <v>865882</v>
      </c>
      <c r="B126">
        <v>961</v>
      </c>
      <c r="C126">
        <v>311</v>
      </c>
      <c r="D126">
        <v>4653</v>
      </c>
      <c r="E126">
        <v>4551</v>
      </c>
      <c r="F126">
        <v>3</v>
      </c>
      <c r="G126">
        <v>311</v>
      </c>
      <c r="J126" t="s">
        <v>96</v>
      </c>
      <c r="K126" t="s">
        <v>34</v>
      </c>
      <c r="L126">
        <v>0</v>
      </c>
    </row>
    <row r="127" spans="1:12" ht="14.25" customHeight="1" x14ac:dyDescent="0.25">
      <c r="A127">
        <v>865761</v>
      </c>
      <c r="B127">
        <v>960</v>
      </c>
      <c r="C127">
        <v>311</v>
      </c>
      <c r="D127">
        <v>4647</v>
      </c>
      <c r="E127">
        <v>4545</v>
      </c>
      <c r="F127">
        <v>3</v>
      </c>
      <c r="G127">
        <v>311</v>
      </c>
      <c r="J127" t="s">
        <v>85</v>
      </c>
      <c r="K127" t="s">
        <v>32</v>
      </c>
      <c r="L127">
        <v>0</v>
      </c>
    </row>
    <row r="128" spans="1:12" ht="14.25" customHeight="1" x14ac:dyDescent="0.25">
      <c r="A128">
        <v>865769</v>
      </c>
      <c r="B128">
        <v>960</v>
      </c>
      <c r="C128">
        <v>311</v>
      </c>
      <c r="D128">
        <v>4659</v>
      </c>
      <c r="E128">
        <v>4558</v>
      </c>
      <c r="F128">
        <v>3</v>
      </c>
      <c r="G128">
        <v>311</v>
      </c>
      <c r="J128" t="s">
        <v>94</v>
      </c>
      <c r="L128">
        <v>0</v>
      </c>
    </row>
    <row r="129" spans="1:12" ht="14.25" customHeight="1" x14ac:dyDescent="0.25">
      <c r="A129">
        <v>865765</v>
      </c>
      <c r="B129">
        <v>960</v>
      </c>
      <c r="C129">
        <v>311</v>
      </c>
      <c r="D129">
        <v>4656</v>
      </c>
      <c r="E129">
        <v>4555</v>
      </c>
      <c r="F129">
        <v>3</v>
      </c>
      <c r="G129">
        <v>311</v>
      </c>
      <c r="J129" t="s">
        <v>90</v>
      </c>
      <c r="K129" t="s">
        <v>33</v>
      </c>
      <c r="L129">
        <v>0</v>
      </c>
    </row>
    <row r="130" spans="1:12" ht="14.25" customHeight="1" x14ac:dyDescent="0.25">
      <c r="A130">
        <v>866763</v>
      </c>
      <c r="B130">
        <v>962</v>
      </c>
      <c r="C130">
        <v>311</v>
      </c>
      <c r="D130">
        <v>4657</v>
      </c>
      <c r="E130">
        <v>4554</v>
      </c>
      <c r="F130">
        <v>3</v>
      </c>
      <c r="G130">
        <v>311</v>
      </c>
      <c r="J130" t="s">
        <v>97</v>
      </c>
      <c r="K130" t="s">
        <v>34</v>
      </c>
      <c r="L130">
        <v>0</v>
      </c>
    </row>
    <row r="131" spans="1:12" ht="14.25" customHeight="1" x14ac:dyDescent="0.25">
      <c r="A131">
        <v>866769</v>
      </c>
      <c r="B131">
        <v>962</v>
      </c>
      <c r="C131">
        <v>311</v>
      </c>
      <c r="D131">
        <v>4660</v>
      </c>
      <c r="E131">
        <v>4559</v>
      </c>
      <c r="F131">
        <v>3</v>
      </c>
      <c r="G131">
        <v>311</v>
      </c>
      <c r="J131" t="s">
        <v>92</v>
      </c>
      <c r="K131" t="s">
        <v>33</v>
      </c>
      <c r="L131">
        <v>0</v>
      </c>
    </row>
    <row r="132" spans="1:12" ht="14.25" customHeight="1" x14ac:dyDescent="0.25">
      <c r="A132">
        <v>866773</v>
      </c>
      <c r="B132">
        <v>962</v>
      </c>
      <c r="C132">
        <v>311</v>
      </c>
      <c r="D132">
        <v>4665</v>
      </c>
      <c r="E132">
        <v>4564</v>
      </c>
      <c r="F132">
        <v>3</v>
      </c>
      <c r="G132">
        <v>311</v>
      </c>
      <c r="J132" t="s">
        <v>99</v>
      </c>
      <c r="K132" t="s">
        <v>35</v>
      </c>
      <c r="L132">
        <v>0</v>
      </c>
    </row>
    <row r="133" spans="1:12" ht="14.25" customHeight="1" x14ac:dyDescent="0.25">
      <c r="A133">
        <v>866767</v>
      </c>
      <c r="B133">
        <v>962</v>
      </c>
      <c r="C133">
        <v>311</v>
      </c>
      <c r="D133">
        <v>4651</v>
      </c>
      <c r="E133">
        <v>4546</v>
      </c>
      <c r="F133">
        <v>3</v>
      </c>
      <c r="G133">
        <v>311</v>
      </c>
      <c r="J133" t="s">
        <v>88</v>
      </c>
      <c r="K133" t="s">
        <v>32</v>
      </c>
      <c r="L133">
        <v>0</v>
      </c>
    </row>
    <row r="134" spans="1:12" ht="14.25" customHeight="1" x14ac:dyDescent="0.25">
      <c r="A134">
        <v>865922</v>
      </c>
      <c r="B134">
        <v>963</v>
      </c>
      <c r="C134">
        <v>311</v>
      </c>
      <c r="D134">
        <v>4662</v>
      </c>
      <c r="E134">
        <v>4561</v>
      </c>
      <c r="F134">
        <v>3</v>
      </c>
      <c r="G134">
        <v>311</v>
      </c>
      <c r="J134" t="s">
        <v>95</v>
      </c>
      <c r="L134">
        <v>0</v>
      </c>
    </row>
    <row r="135" spans="1:12" ht="14.25" customHeight="1" x14ac:dyDescent="0.25">
      <c r="A135">
        <v>865264</v>
      </c>
      <c r="B135">
        <v>964</v>
      </c>
      <c r="C135">
        <v>311</v>
      </c>
      <c r="D135">
        <v>4650</v>
      </c>
      <c r="E135">
        <v>4548</v>
      </c>
      <c r="F135">
        <v>3</v>
      </c>
      <c r="G135">
        <v>311</v>
      </c>
      <c r="J135" t="s">
        <v>89</v>
      </c>
      <c r="K135" t="s">
        <v>32</v>
      </c>
      <c r="L135">
        <v>0</v>
      </c>
    </row>
    <row r="136" spans="1:12" ht="14.25" customHeight="1" x14ac:dyDescent="0.25">
      <c r="A136">
        <v>865263</v>
      </c>
      <c r="B136">
        <v>964</v>
      </c>
      <c r="C136">
        <v>311</v>
      </c>
      <c r="D136">
        <v>4675</v>
      </c>
      <c r="E136">
        <v>4574</v>
      </c>
      <c r="F136">
        <v>3</v>
      </c>
      <c r="G136">
        <v>311</v>
      </c>
      <c r="J136" t="s">
        <v>93</v>
      </c>
      <c r="L136">
        <v>0</v>
      </c>
    </row>
    <row r="137" spans="1:12" ht="14.25" customHeight="1" x14ac:dyDescent="0.25">
      <c r="A137">
        <v>865864</v>
      </c>
      <c r="B137">
        <v>963</v>
      </c>
      <c r="C137">
        <v>312</v>
      </c>
      <c r="D137">
        <v>4648</v>
      </c>
      <c r="E137">
        <v>4549</v>
      </c>
      <c r="F137">
        <v>3</v>
      </c>
      <c r="G137">
        <v>312</v>
      </c>
      <c r="H137" t="s">
        <v>71</v>
      </c>
      <c r="I137" s="2" t="s">
        <v>72</v>
      </c>
      <c r="J137" t="s">
        <v>86</v>
      </c>
      <c r="K137" t="s">
        <v>32</v>
      </c>
      <c r="L137">
        <v>1</v>
      </c>
    </row>
    <row r="138" spans="1:12" ht="14.25" customHeight="1" x14ac:dyDescent="0.25">
      <c r="A138">
        <v>865868</v>
      </c>
      <c r="B138">
        <v>963</v>
      </c>
      <c r="C138">
        <v>312</v>
      </c>
      <c r="D138">
        <v>4652</v>
      </c>
      <c r="E138">
        <v>4550</v>
      </c>
      <c r="F138">
        <v>3</v>
      </c>
      <c r="G138">
        <v>312</v>
      </c>
      <c r="J138" t="s">
        <v>91</v>
      </c>
      <c r="K138" t="s">
        <v>33</v>
      </c>
      <c r="L138">
        <v>1</v>
      </c>
    </row>
    <row r="139" spans="1:12" ht="14.25" customHeight="1" x14ac:dyDescent="0.25">
      <c r="A139">
        <v>865831</v>
      </c>
      <c r="B139">
        <v>961</v>
      </c>
      <c r="C139">
        <v>312</v>
      </c>
      <c r="D139">
        <v>4649</v>
      </c>
      <c r="E139">
        <v>4547</v>
      </c>
      <c r="F139">
        <v>3</v>
      </c>
      <c r="G139">
        <v>312</v>
      </c>
      <c r="J139" t="s">
        <v>87</v>
      </c>
      <c r="L139">
        <v>1</v>
      </c>
    </row>
    <row r="140" spans="1:12" ht="14.25" customHeight="1" x14ac:dyDescent="0.25">
      <c r="A140">
        <v>865827</v>
      </c>
      <c r="B140">
        <v>961</v>
      </c>
      <c r="C140">
        <v>312</v>
      </c>
      <c r="D140">
        <v>4658</v>
      </c>
      <c r="E140">
        <v>4557</v>
      </c>
      <c r="F140">
        <v>3</v>
      </c>
      <c r="G140">
        <v>312</v>
      </c>
      <c r="J140" t="s">
        <v>98</v>
      </c>
      <c r="K140" t="s">
        <v>35</v>
      </c>
      <c r="L140">
        <v>0</v>
      </c>
    </row>
    <row r="141" spans="1:12" ht="14.25" customHeight="1" x14ac:dyDescent="0.25">
      <c r="A141">
        <v>865835</v>
      </c>
      <c r="B141">
        <v>961</v>
      </c>
      <c r="C141">
        <v>312</v>
      </c>
      <c r="D141">
        <v>4653</v>
      </c>
      <c r="E141">
        <v>4551</v>
      </c>
      <c r="F141">
        <v>3</v>
      </c>
      <c r="G141">
        <v>312</v>
      </c>
      <c r="J141" t="s">
        <v>96</v>
      </c>
      <c r="K141" t="s">
        <v>34</v>
      </c>
      <c r="L141">
        <v>0</v>
      </c>
    </row>
    <row r="142" spans="1:12" ht="14.25" customHeight="1" x14ac:dyDescent="0.25">
      <c r="A142">
        <v>865713</v>
      </c>
      <c r="B142">
        <v>960</v>
      </c>
      <c r="C142">
        <v>312</v>
      </c>
      <c r="D142">
        <v>4647</v>
      </c>
      <c r="E142">
        <v>4545</v>
      </c>
      <c r="F142">
        <v>3</v>
      </c>
      <c r="G142">
        <v>312</v>
      </c>
      <c r="J142" t="s">
        <v>85</v>
      </c>
      <c r="K142" t="s">
        <v>32</v>
      </c>
      <c r="L142">
        <v>0</v>
      </c>
    </row>
    <row r="143" spans="1:12" ht="14.25" customHeight="1" x14ac:dyDescent="0.25">
      <c r="A143">
        <v>865721</v>
      </c>
      <c r="B143">
        <v>960</v>
      </c>
      <c r="C143">
        <v>312</v>
      </c>
      <c r="D143">
        <v>4659</v>
      </c>
      <c r="E143">
        <v>4558</v>
      </c>
      <c r="F143">
        <v>3</v>
      </c>
      <c r="G143">
        <v>312</v>
      </c>
      <c r="J143" t="s">
        <v>94</v>
      </c>
      <c r="L143">
        <v>0</v>
      </c>
    </row>
    <row r="144" spans="1:12" ht="14.25" customHeight="1" x14ac:dyDescent="0.25">
      <c r="A144">
        <v>865717</v>
      </c>
      <c r="B144">
        <v>960</v>
      </c>
      <c r="C144">
        <v>312</v>
      </c>
      <c r="D144">
        <v>4656</v>
      </c>
      <c r="E144">
        <v>4555</v>
      </c>
      <c r="F144">
        <v>3</v>
      </c>
      <c r="G144">
        <v>312</v>
      </c>
      <c r="J144" t="s">
        <v>90</v>
      </c>
      <c r="K144" t="s">
        <v>33</v>
      </c>
      <c r="L144">
        <v>0</v>
      </c>
    </row>
    <row r="145" spans="1:12" ht="14.25" customHeight="1" x14ac:dyDescent="0.25">
      <c r="A145">
        <v>866696</v>
      </c>
      <c r="B145">
        <v>962</v>
      </c>
      <c r="C145">
        <v>312</v>
      </c>
      <c r="D145">
        <v>4657</v>
      </c>
      <c r="E145">
        <v>4554</v>
      </c>
      <c r="F145">
        <v>3</v>
      </c>
      <c r="G145">
        <v>312</v>
      </c>
      <c r="J145" t="s">
        <v>97</v>
      </c>
      <c r="K145" t="s">
        <v>34</v>
      </c>
      <c r="L145">
        <v>0</v>
      </c>
    </row>
    <row r="146" spans="1:12" ht="14.25" customHeight="1" x14ac:dyDescent="0.25">
      <c r="A146">
        <v>866706</v>
      </c>
      <c r="B146">
        <v>962</v>
      </c>
      <c r="C146">
        <v>312</v>
      </c>
      <c r="D146">
        <v>4660</v>
      </c>
      <c r="E146">
        <v>4559</v>
      </c>
      <c r="F146">
        <v>3</v>
      </c>
      <c r="G146">
        <v>312</v>
      </c>
      <c r="J146" t="s">
        <v>92</v>
      </c>
      <c r="K146" t="s">
        <v>33</v>
      </c>
      <c r="L146">
        <v>0</v>
      </c>
    </row>
    <row r="147" spans="1:12" ht="14.25" customHeight="1" x14ac:dyDescent="0.25">
      <c r="A147">
        <v>866711</v>
      </c>
      <c r="B147">
        <v>962</v>
      </c>
      <c r="C147">
        <v>312</v>
      </c>
      <c r="D147">
        <v>4665</v>
      </c>
      <c r="E147">
        <v>4564</v>
      </c>
      <c r="F147">
        <v>3</v>
      </c>
      <c r="G147">
        <v>312</v>
      </c>
      <c r="J147" t="s">
        <v>99</v>
      </c>
      <c r="K147" t="s">
        <v>35</v>
      </c>
      <c r="L147">
        <v>0</v>
      </c>
    </row>
    <row r="148" spans="1:12" ht="14.25" customHeight="1" x14ac:dyDescent="0.25">
      <c r="A148">
        <v>866701</v>
      </c>
      <c r="B148">
        <v>962</v>
      </c>
      <c r="C148">
        <v>312</v>
      </c>
      <c r="D148">
        <v>4651</v>
      </c>
      <c r="E148">
        <v>4546</v>
      </c>
      <c r="F148">
        <v>3</v>
      </c>
      <c r="G148">
        <v>312</v>
      </c>
      <c r="J148" t="s">
        <v>88</v>
      </c>
      <c r="K148" t="s">
        <v>32</v>
      </c>
      <c r="L148">
        <v>1</v>
      </c>
    </row>
    <row r="149" spans="1:12" ht="14.25" customHeight="1" x14ac:dyDescent="0.25">
      <c r="A149">
        <v>865872</v>
      </c>
      <c r="B149">
        <v>963</v>
      </c>
      <c r="C149">
        <v>312</v>
      </c>
      <c r="D149">
        <v>4662</v>
      </c>
      <c r="E149">
        <v>4561</v>
      </c>
      <c r="F149">
        <v>3</v>
      </c>
      <c r="G149">
        <v>312</v>
      </c>
      <c r="J149" t="s">
        <v>95</v>
      </c>
      <c r="L149">
        <v>1</v>
      </c>
    </row>
    <row r="150" spans="1:12" ht="14.25" customHeight="1" x14ac:dyDescent="0.25">
      <c r="A150">
        <v>865255</v>
      </c>
      <c r="B150">
        <v>964</v>
      </c>
      <c r="C150">
        <v>312</v>
      </c>
      <c r="D150">
        <v>4650</v>
      </c>
      <c r="E150">
        <v>4548</v>
      </c>
      <c r="F150">
        <v>3</v>
      </c>
      <c r="G150">
        <v>312</v>
      </c>
      <c r="J150" t="s">
        <v>89</v>
      </c>
      <c r="K150" t="s">
        <v>32</v>
      </c>
      <c r="L150">
        <v>0</v>
      </c>
    </row>
    <row r="151" spans="1:12" ht="14.25" customHeight="1" x14ac:dyDescent="0.25">
      <c r="A151">
        <v>865254</v>
      </c>
      <c r="B151">
        <v>964</v>
      </c>
      <c r="C151">
        <v>312</v>
      </c>
      <c r="D151">
        <v>4675</v>
      </c>
      <c r="E151">
        <v>4574</v>
      </c>
      <c r="F151">
        <v>3</v>
      </c>
      <c r="G151">
        <v>312</v>
      </c>
      <c r="J151" t="s">
        <v>93</v>
      </c>
      <c r="L151">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151"/>
  <sheetViews>
    <sheetView workbookViewId="0">
      <selection activeCell="K3" sqref="K3"/>
    </sheetView>
  </sheetViews>
  <sheetFormatPr defaultRowHeight="14.25" customHeight="1" x14ac:dyDescent="0.25"/>
  <cols>
    <col min="11" max="11" width="93.28515625" customWidth="1"/>
    <col min="12" max="12" width="16.28515625" bestFit="1" customWidth="1"/>
    <col min="13" max="13" width="5" customWidth="1"/>
    <col min="14" max="14" width="3" customWidth="1"/>
    <col min="15" max="15" width="5" customWidth="1"/>
    <col min="16" max="16" width="6" customWidth="1"/>
    <col min="17" max="17" width="5" customWidth="1"/>
    <col min="18" max="21" width="4" customWidth="1"/>
    <col min="22" max="22" width="7.28515625" customWidth="1"/>
    <col min="23" max="23" width="11.28515625" bestFit="1" customWidth="1"/>
  </cols>
  <sheetData>
    <row r="1" spans="1:23" ht="14.25" customHeight="1" x14ac:dyDescent="0.25">
      <c r="A1" t="s">
        <v>50</v>
      </c>
      <c r="B1" t="s">
        <v>43</v>
      </c>
      <c r="C1" t="s">
        <v>47</v>
      </c>
      <c r="D1" t="s">
        <v>48</v>
      </c>
      <c r="E1" t="s">
        <v>49</v>
      </c>
      <c r="F1" t="s">
        <v>51</v>
      </c>
      <c r="G1" t="s">
        <v>52</v>
      </c>
    </row>
    <row r="2" spans="1:23" ht="14.25" customHeight="1" x14ac:dyDescent="0.25">
      <c r="A2" t="s">
        <v>86</v>
      </c>
      <c r="B2">
        <v>47</v>
      </c>
      <c r="C2">
        <v>47</v>
      </c>
      <c r="D2" t="s">
        <v>53</v>
      </c>
      <c r="E2" s="2" t="s">
        <v>54</v>
      </c>
      <c r="F2" t="s">
        <v>32</v>
      </c>
      <c r="G2">
        <v>14</v>
      </c>
    </row>
    <row r="3" spans="1:23" ht="14.25" customHeight="1" x14ac:dyDescent="0.25">
      <c r="A3" t="s">
        <v>91</v>
      </c>
      <c r="B3">
        <v>47</v>
      </c>
      <c r="C3">
        <v>47</v>
      </c>
      <c r="F3" t="s">
        <v>33</v>
      </c>
      <c r="G3">
        <v>14</v>
      </c>
      <c r="K3" s="22" t="s">
        <v>77</v>
      </c>
      <c r="L3" s="22" t="s">
        <v>76</v>
      </c>
    </row>
    <row r="4" spans="1:23" ht="14.25" customHeight="1" x14ac:dyDescent="0.25">
      <c r="A4" t="s">
        <v>87</v>
      </c>
      <c r="B4">
        <v>47</v>
      </c>
      <c r="C4">
        <v>47</v>
      </c>
      <c r="G4">
        <v>18</v>
      </c>
      <c r="K4" s="22" t="s">
        <v>73</v>
      </c>
      <c r="L4">
        <v>47</v>
      </c>
      <c r="M4">
        <v>49</v>
      </c>
      <c r="N4">
        <v>51</v>
      </c>
      <c r="O4">
        <v>53</v>
      </c>
      <c r="P4">
        <v>94</v>
      </c>
      <c r="Q4">
        <v>95</v>
      </c>
      <c r="R4">
        <v>309</v>
      </c>
      <c r="S4">
        <v>310</v>
      </c>
      <c r="T4">
        <v>311</v>
      </c>
      <c r="U4">
        <v>312</v>
      </c>
      <c r="V4" t="s">
        <v>74</v>
      </c>
      <c r="W4" t="s">
        <v>75</v>
      </c>
    </row>
    <row r="5" spans="1:23" ht="14.25" customHeight="1" x14ac:dyDescent="0.25">
      <c r="A5" t="s">
        <v>98</v>
      </c>
      <c r="B5">
        <v>47</v>
      </c>
      <c r="C5">
        <v>47</v>
      </c>
      <c r="F5" t="s">
        <v>35</v>
      </c>
      <c r="G5">
        <v>85</v>
      </c>
      <c r="K5" s="23" t="s">
        <v>86</v>
      </c>
      <c r="L5" s="24">
        <v>14</v>
      </c>
      <c r="M5" s="24">
        <v>469</v>
      </c>
      <c r="N5" s="24"/>
      <c r="O5" s="24">
        <v>100</v>
      </c>
      <c r="P5" s="24">
        <v>2042</v>
      </c>
      <c r="Q5" s="24">
        <v>190</v>
      </c>
      <c r="R5" s="24">
        <v>44</v>
      </c>
      <c r="S5" s="24">
        <v>0</v>
      </c>
      <c r="T5" s="24">
        <v>0</v>
      </c>
      <c r="U5" s="24">
        <v>1</v>
      </c>
      <c r="V5" s="24"/>
      <c r="W5" s="24">
        <v>2860</v>
      </c>
    </row>
    <row r="6" spans="1:23" ht="14.25" customHeight="1" x14ac:dyDescent="0.25">
      <c r="A6" t="s">
        <v>96</v>
      </c>
      <c r="B6">
        <v>47</v>
      </c>
      <c r="C6">
        <v>47</v>
      </c>
      <c r="F6" t="s">
        <v>34</v>
      </c>
      <c r="G6">
        <v>353</v>
      </c>
      <c r="K6" s="23" t="s">
        <v>91</v>
      </c>
      <c r="L6" s="24">
        <v>14</v>
      </c>
      <c r="M6" s="24">
        <v>476</v>
      </c>
      <c r="N6" s="24"/>
      <c r="O6" s="24">
        <v>100</v>
      </c>
      <c r="P6" s="24">
        <v>1878</v>
      </c>
      <c r="Q6" s="24">
        <v>152</v>
      </c>
      <c r="R6" s="24">
        <v>18</v>
      </c>
      <c r="S6" s="24">
        <v>0</v>
      </c>
      <c r="T6" s="24">
        <v>0</v>
      </c>
      <c r="U6" s="24">
        <v>1</v>
      </c>
      <c r="V6" s="24"/>
      <c r="W6" s="24">
        <v>2639</v>
      </c>
    </row>
    <row r="7" spans="1:23" ht="14.25" customHeight="1" x14ac:dyDescent="0.25">
      <c r="A7" t="s">
        <v>85</v>
      </c>
      <c r="B7">
        <v>47</v>
      </c>
      <c r="C7">
        <v>47</v>
      </c>
      <c r="F7" t="s">
        <v>32</v>
      </c>
      <c r="G7">
        <v>37</v>
      </c>
      <c r="K7" s="23" t="s">
        <v>87</v>
      </c>
      <c r="L7" s="24">
        <v>18</v>
      </c>
      <c r="M7" s="24">
        <v>39</v>
      </c>
      <c r="N7" s="24"/>
      <c r="O7" s="24">
        <v>100</v>
      </c>
      <c r="P7" s="24">
        <v>510</v>
      </c>
      <c r="Q7" s="24">
        <v>96</v>
      </c>
      <c r="R7" s="24">
        <v>48</v>
      </c>
      <c r="S7" s="24">
        <v>0</v>
      </c>
      <c r="T7" s="24">
        <v>0</v>
      </c>
      <c r="U7" s="24">
        <v>1</v>
      </c>
      <c r="V7" s="24"/>
      <c r="W7" s="24">
        <v>812</v>
      </c>
    </row>
    <row r="8" spans="1:23" ht="14.25" customHeight="1" x14ac:dyDescent="0.25">
      <c r="A8" t="s">
        <v>94</v>
      </c>
      <c r="B8">
        <v>47</v>
      </c>
      <c r="C8">
        <v>47</v>
      </c>
      <c r="G8">
        <v>155</v>
      </c>
      <c r="K8" s="23" t="s">
        <v>98</v>
      </c>
      <c r="L8" s="24">
        <v>85</v>
      </c>
      <c r="M8" s="24">
        <v>79</v>
      </c>
      <c r="N8" s="24"/>
      <c r="O8" s="24">
        <v>100</v>
      </c>
      <c r="P8" s="24">
        <v>2073</v>
      </c>
      <c r="Q8" s="24">
        <v>134</v>
      </c>
      <c r="R8" s="24">
        <v>27</v>
      </c>
      <c r="S8" s="24">
        <v>1</v>
      </c>
      <c r="T8" s="24">
        <v>0</v>
      </c>
      <c r="U8" s="24">
        <v>0</v>
      </c>
      <c r="V8" s="24"/>
      <c r="W8" s="24">
        <v>2499</v>
      </c>
    </row>
    <row r="9" spans="1:23" ht="14.25" customHeight="1" x14ac:dyDescent="0.25">
      <c r="A9" t="s">
        <v>90</v>
      </c>
      <c r="B9">
        <v>47</v>
      </c>
      <c r="C9">
        <v>47</v>
      </c>
      <c r="F9" t="s">
        <v>33</v>
      </c>
      <c r="G9">
        <v>31</v>
      </c>
      <c r="K9" s="23" t="s">
        <v>96</v>
      </c>
      <c r="L9" s="24">
        <v>353</v>
      </c>
      <c r="M9" s="24">
        <v>61</v>
      </c>
      <c r="N9" s="24"/>
      <c r="O9" s="24">
        <v>100</v>
      </c>
      <c r="P9" s="24">
        <v>1087</v>
      </c>
      <c r="Q9" s="24">
        <v>128</v>
      </c>
      <c r="R9" s="24">
        <v>34</v>
      </c>
      <c r="S9" s="24">
        <v>0</v>
      </c>
      <c r="T9" s="24">
        <v>0</v>
      </c>
      <c r="U9" s="24">
        <v>0</v>
      </c>
      <c r="V9" s="24"/>
      <c r="W9" s="24">
        <v>1763</v>
      </c>
    </row>
    <row r="10" spans="1:23" ht="14.25" customHeight="1" x14ac:dyDescent="0.25">
      <c r="A10" t="s">
        <v>97</v>
      </c>
      <c r="B10">
        <v>47</v>
      </c>
      <c r="C10">
        <v>47</v>
      </c>
      <c r="F10" t="s">
        <v>34</v>
      </c>
      <c r="G10">
        <v>115</v>
      </c>
      <c r="K10" s="23" t="s">
        <v>85</v>
      </c>
      <c r="L10" s="24">
        <v>37</v>
      </c>
      <c r="M10" s="24">
        <v>277</v>
      </c>
      <c r="N10" s="24"/>
      <c r="O10" s="24">
        <v>100</v>
      </c>
      <c r="P10" s="24">
        <v>961</v>
      </c>
      <c r="Q10" s="24">
        <v>115</v>
      </c>
      <c r="R10" s="24">
        <v>27</v>
      </c>
      <c r="S10" s="24">
        <v>0</v>
      </c>
      <c r="T10" s="24">
        <v>0</v>
      </c>
      <c r="U10" s="24">
        <v>0</v>
      </c>
      <c r="V10" s="24"/>
      <c r="W10" s="24">
        <v>1517</v>
      </c>
    </row>
    <row r="11" spans="1:23" ht="14.25" customHeight="1" x14ac:dyDescent="0.25">
      <c r="A11" t="s">
        <v>92</v>
      </c>
      <c r="B11">
        <v>47</v>
      </c>
      <c r="C11">
        <v>47</v>
      </c>
      <c r="F11" t="s">
        <v>33</v>
      </c>
      <c r="G11">
        <v>0</v>
      </c>
      <c r="K11" s="23" t="s">
        <v>94</v>
      </c>
      <c r="L11" s="24">
        <v>155</v>
      </c>
      <c r="M11" s="24">
        <v>202</v>
      </c>
      <c r="N11" s="24"/>
      <c r="O11" s="24">
        <v>100</v>
      </c>
      <c r="P11" s="24">
        <v>1400</v>
      </c>
      <c r="Q11" s="24">
        <v>125</v>
      </c>
      <c r="R11" s="24">
        <v>34</v>
      </c>
      <c r="S11" s="24">
        <v>0</v>
      </c>
      <c r="T11" s="24">
        <v>0</v>
      </c>
      <c r="U11" s="24">
        <v>0</v>
      </c>
      <c r="V11" s="24"/>
      <c r="W11" s="24">
        <v>2016</v>
      </c>
    </row>
    <row r="12" spans="1:23" ht="14.25" customHeight="1" x14ac:dyDescent="0.25">
      <c r="A12" t="s">
        <v>99</v>
      </c>
      <c r="B12">
        <v>47</v>
      </c>
      <c r="C12">
        <v>47</v>
      </c>
      <c r="F12" t="s">
        <v>35</v>
      </c>
      <c r="G12">
        <v>84</v>
      </c>
      <c r="K12" s="23" t="s">
        <v>90</v>
      </c>
      <c r="L12" s="24">
        <v>31</v>
      </c>
      <c r="M12" s="24">
        <v>413</v>
      </c>
      <c r="N12" s="24"/>
      <c r="O12" s="24">
        <v>100</v>
      </c>
      <c r="P12" s="24">
        <v>1111</v>
      </c>
      <c r="Q12" s="24">
        <v>100</v>
      </c>
      <c r="R12" s="24">
        <v>25</v>
      </c>
      <c r="S12" s="24">
        <v>0</v>
      </c>
      <c r="T12" s="24">
        <v>0</v>
      </c>
      <c r="U12" s="24">
        <v>0</v>
      </c>
      <c r="V12" s="24"/>
      <c r="W12" s="24">
        <v>1780</v>
      </c>
    </row>
    <row r="13" spans="1:23" ht="14.25" customHeight="1" x14ac:dyDescent="0.25">
      <c r="A13" t="s">
        <v>88</v>
      </c>
      <c r="B13">
        <v>47</v>
      </c>
      <c r="C13">
        <v>47</v>
      </c>
      <c r="F13" t="s">
        <v>32</v>
      </c>
      <c r="G13">
        <v>180</v>
      </c>
      <c r="K13" s="23" t="s">
        <v>97</v>
      </c>
      <c r="L13" s="24">
        <v>115</v>
      </c>
      <c r="M13" s="24">
        <v>245</v>
      </c>
      <c r="N13" s="24"/>
      <c r="O13" s="24">
        <v>100</v>
      </c>
      <c r="P13" s="24">
        <v>1114</v>
      </c>
      <c r="Q13" s="24">
        <v>70</v>
      </c>
      <c r="R13" s="24">
        <v>12</v>
      </c>
      <c r="S13" s="24">
        <v>0</v>
      </c>
      <c r="T13" s="24">
        <v>0</v>
      </c>
      <c r="U13" s="24">
        <v>0</v>
      </c>
      <c r="V13" s="24"/>
      <c r="W13" s="24">
        <v>1656</v>
      </c>
    </row>
    <row r="14" spans="1:23" ht="14.25" customHeight="1" x14ac:dyDescent="0.25">
      <c r="A14" t="s">
        <v>95</v>
      </c>
      <c r="B14">
        <v>47</v>
      </c>
      <c r="C14">
        <v>47</v>
      </c>
      <c r="G14">
        <v>1</v>
      </c>
      <c r="K14" s="23" t="s">
        <v>92</v>
      </c>
      <c r="L14" s="24">
        <v>0</v>
      </c>
      <c r="M14" s="24">
        <v>243</v>
      </c>
      <c r="N14" s="24"/>
      <c r="O14" s="24">
        <v>100</v>
      </c>
      <c r="P14" s="24">
        <v>1383</v>
      </c>
      <c r="Q14" s="24">
        <v>84</v>
      </c>
      <c r="R14" s="24">
        <v>11</v>
      </c>
      <c r="S14" s="24">
        <v>0</v>
      </c>
      <c r="T14" s="24">
        <v>0</v>
      </c>
      <c r="U14" s="24">
        <v>0</v>
      </c>
      <c r="V14" s="24"/>
      <c r="W14" s="24">
        <v>1821</v>
      </c>
    </row>
    <row r="15" spans="1:23" ht="14.25" customHeight="1" x14ac:dyDescent="0.25">
      <c r="A15" t="s">
        <v>89</v>
      </c>
      <c r="B15">
        <v>47</v>
      </c>
      <c r="C15">
        <v>47</v>
      </c>
      <c r="F15" t="s">
        <v>32</v>
      </c>
      <c r="G15">
        <v>4</v>
      </c>
      <c r="K15" s="23" t="s">
        <v>99</v>
      </c>
      <c r="L15" s="24">
        <v>84</v>
      </c>
      <c r="M15" s="24">
        <v>243</v>
      </c>
      <c r="N15" s="24"/>
      <c r="O15" s="24">
        <v>100</v>
      </c>
      <c r="P15" s="24">
        <v>1424</v>
      </c>
      <c r="Q15" s="24">
        <v>99</v>
      </c>
      <c r="R15" s="24">
        <v>17</v>
      </c>
      <c r="S15" s="24">
        <v>1</v>
      </c>
      <c r="T15" s="24">
        <v>0</v>
      </c>
      <c r="U15" s="24">
        <v>0</v>
      </c>
      <c r="V15" s="24"/>
      <c r="W15" s="24">
        <v>1968</v>
      </c>
    </row>
    <row r="16" spans="1:23" ht="14.25" customHeight="1" x14ac:dyDescent="0.25">
      <c r="A16" t="s">
        <v>93</v>
      </c>
      <c r="B16">
        <v>47</v>
      </c>
      <c r="C16">
        <v>47</v>
      </c>
      <c r="G16">
        <v>4</v>
      </c>
      <c r="K16" s="23" t="s">
        <v>88</v>
      </c>
      <c r="L16" s="24">
        <v>180</v>
      </c>
      <c r="M16" s="24">
        <v>296</v>
      </c>
      <c r="N16" s="24"/>
      <c r="O16" s="24">
        <v>100</v>
      </c>
      <c r="P16" s="24">
        <v>1073</v>
      </c>
      <c r="Q16" s="24">
        <v>88</v>
      </c>
      <c r="R16" s="24">
        <v>15</v>
      </c>
      <c r="S16" s="24">
        <v>0</v>
      </c>
      <c r="T16" s="24">
        <v>0</v>
      </c>
      <c r="U16" s="24">
        <v>1</v>
      </c>
      <c r="V16" s="24"/>
      <c r="W16" s="24">
        <v>1753</v>
      </c>
    </row>
    <row r="17" spans="1:23" ht="14.25" customHeight="1" x14ac:dyDescent="0.25">
      <c r="A17" t="s">
        <v>86</v>
      </c>
      <c r="B17">
        <v>49</v>
      </c>
      <c r="C17">
        <v>49</v>
      </c>
      <c r="D17" t="s">
        <v>55</v>
      </c>
      <c r="E17" s="2" t="s">
        <v>56</v>
      </c>
      <c r="F17" t="s">
        <v>32</v>
      </c>
      <c r="G17">
        <v>469</v>
      </c>
      <c r="K17" s="23" t="s">
        <v>95</v>
      </c>
      <c r="L17" s="24">
        <v>1</v>
      </c>
      <c r="M17" s="24">
        <v>643</v>
      </c>
      <c r="N17" s="24"/>
      <c r="O17" s="24">
        <v>100</v>
      </c>
      <c r="P17" s="24">
        <v>1197</v>
      </c>
      <c r="Q17" s="24">
        <v>130</v>
      </c>
      <c r="R17" s="24">
        <v>27</v>
      </c>
      <c r="S17" s="24">
        <v>0</v>
      </c>
      <c r="T17" s="24">
        <v>0</v>
      </c>
      <c r="U17" s="24">
        <v>1</v>
      </c>
      <c r="V17" s="24"/>
      <c r="W17" s="24">
        <v>2099</v>
      </c>
    </row>
    <row r="18" spans="1:23" ht="14.25" customHeight="1" x14ac:dyDescent="0.25">
      <c r="A18" t="s">
        <v>91</v>
      </c>
      <c r="B18">
        <v>49</v>
      </c>
      <c r="C18">
        <v>49</v>
      </c>
      <c r="F18" t="s">
        <v>33</v>
      </c>
      <c r="G18">
        <v>476</v>
      </c>
      <c r="K18" s="23" t="s">
        <v>89</v>
      </c>
      <c r="L18" s="24">
        <v>4</v>
      </c>
      <c r="M18" s="24">
        <v>480</v>
      </c>
      <c r="N18" s="24"/>
      <c r="O18" s="24">
        <v>100</v>
      </c>
      <c r="P18" s="24">
        <v>1161</v>
      </c>
      <c r="Q18" s="24">
        <v>132</v>
      </c>
      <c r="R18" s="24">
        <v>52</v>
      </c>
      <c r="S18" s="24">
        <v>0</v>
      </c>
      <c r="T18" s="24">
        <v>0</v>
      </c>
      <c r="U18" s="24">
        <v>0</v>
      </c>
      <c r="V18" s="24"/>
      <c r="W18" s="24">
        <v>1929</v>
      </c>
    </row>
    <row r="19" spans="1:23" ht="14.25" customHeight="1" x14ac:dyDescent="0.25">
      <c r="A19" t="s">
        <v>87</v>
      </c>
      <c r="B19">
        <v>49</v>
      </c>
      <c r="C19">
        <v>49</v>
      </c>
      <c r="G19">
        <v>39</v>
      </c>
      <c r="K19" s="23" t="s">
        <v>93</v>
      </c>
      <c r="L19" s="24">
        <v>4</v>
      </c>
      <c r="M19" s="24">
        <v>478</v>
      </c>
      <c r="N19" s="24"/>
      <c r="O19" s="24">
        <v>100</v>
      </c>
      <c r="P19" s="24">
        <v>767</v>
      </c>
      <c r="Q19" s="24">
        <v>110</v>
      </c>
      <c r="R19" s="24">
        <v>52</v>
      </c>
      <c r="S19" s="24">
        <v>0</v>
      </c>
      <c r="T19" s="24">
        <v>0</v>
      </c>
      <c r="U19" s="24">
        <v>0</v>
      </c>
      <c r="V19" s="24"/>
      <c r="W19" s="24">
        <v>1511</v>
      </c>
    </row>
    <row r="20" spans="1:23" ht="14.25" customHeight="1" x14ac:dyDescent="0.25">
      <c r="A20" t="s">
        <v>98</v>
      </c>
      <c r="B20">
        <v>49</v>
      </c>
      <c r="C20">
        <v>49</v>
      </c>
      <c r="F20" t="s">
        <v>35</v>
      </c>
      <c r="G20">
        <v>79</v>
      </c>
      <c r="K20" s="23" t="s">
        <v>74</v>
      </c>
      <c r="L20" s="24"/>
      <c r="M20" s="24"/>
      <c r="N20" s="24"/>
      <c r="O20" s="24"/>
      <c r="P20" s="24"/>
      <c r="Q20" s="24"/>
      <c r="R20" s="24"/>
      <c r="S20" s="24"/>
      <c r="T20" s="24"/>
      <c r="U20" s="24"/>
      <c r="V20" s="24"/>
      <c r="W20" s="24"/>
    </row>
    <row r="21" spans="1:23" ht="14.25" customHeight="1" x14ac:dyDescent="0.25">
      <c r="A21" t="s">
        <v>96</v>
      </c>
      <c r="B21">
        <v>49</v>
      </c>
      <c r="C21">
        <v>49</v>
      </c>
      <c r="F21" t="s">
        <v>34</v>
      </c>
      <c r="G21">
        <v>61</v>
      </c>
      <c r="K21" s="23" t="s">
        <v>75</v>
      </c>
      <c r="L21" s="24">
        <v>1095</v>
      </c>
      <c r="M21" s="24">
        <v>4644</v>
      </c>
      <c r="N21" s="24"/>
      <c r="O21" s="24">
        <v>1500</v>
      </c>
      <c r="P21" s="24">
        <v>19181</v>
      </c>
      <c r="Q21" s="24">
        <v>1753</v>
      </c>
      <c r="R21" s="24">
        <v>443</v>
      </c>
      <c r="S21" s="24">
        <v>2</v>
      </c>
      <c r="T21" s="24">
        <v>0</v>
      </c>
      <c r="U21" s="24">
        <v>5</v>
      </c>
      <c r="V21" s="24"/>
      <c r="W21" s="24">
        <v>28623</v>
      </c>
    </row>
    <row r="22" spans="1:23" ht="14.25" customHeight="1" x14ac:dyDescent="0.25">
      <c r="A22" t="s">
        <v>85</v>
      </c>
      <c r="B22">
        <v>49</v>
      </c>
      <c r="C22">
        <v>49</v>
      </c>
      <c r="F22" t="s">
        <v>32</v>
      </c>
      <c r="G22">
        <v>277</v>
      </c>
    </row>
    <row r="23" spans="1:23" ht="14.25" customHeight="1" x14ac:dyDescent="0.25">
      <c r="A23" t="s">
        <v>94</v>
      </c>
      <c r="B23">
        <v>49</v>
      </c>
      <c r="C23">
        <v>49</v>
      </c>
      <c r="G23">
        <v>202</v>
      </c>
    </row>
    <row r="24" spans="1:23" ht="14.25" customHeight="1" x14ac:dyDescent="0.25">
      <c r="A24" t="s">
        <v>90</v>
      </c>
      <c r="B24">
        <v>49</v>
      </c>
      <c r="C24">
        <v>49</v>
      </c>
      <c r="F24" t="s">
        <v>33</v>
      </c>
      <c r="G24">
        <v>413</v>
      </c>
    </row>
    <row r="25" spans="1:23" ht="14.25" customHeight="1" x14ac:dyDescent="0.25">
      <c r="A25" t="s">
        <v>97</v>
      </c>
      <c r="B25">
        <v>49</v>
      </c>
      <c r="C25">
        <v>49</v>
      </c>
      <c r="F25" t="s">
        <v>34</v>
      </c>
      <c r="G25">
        <v>245</v>
      </c>
    </row>
    <row r="26" spans="1:23" ht="14.25" customHeight="1" x14ac:dyDescent="0.25">
      <c r="A26" t="s">
        <v>92</v>
      </c>
      <c r="B26">
        <v>49</v>
      </c>
      <c r="C26">
        <v>49</v>
      </c>
      <c r="F26" t="s">
        <v>33</v>
      </c>
      <c r="G26">
        <v>243</v>
      </c>
    </row>
    <row r="27" spans="1:23" ht="14.25" customHeight="1" x14ac:dyDescent="0.25">
      <c r="A27" t="s">
        <v>99</v>
      </c>
      <c r="B27">
        <v>49</v>
      </c>
      <c r="C27">
        <v>49</v>
      </c>
      <c r="F27" t="s">
        <v>35</v>
      </c>
      <c r="G27">
        <v>243</v>
      </c>
    </row>
    <row r="28" spans="1:23" ht="14.25" customHeight="1" x14ac:dyDescent="0.25">
      <c r="A28" t="s">
        <v>88</v>
      </c>
      <c r="B28">
        <v>49</v>
      </c>
      <c r="C28">
        <v>49</v>
      </c>
      <c r="F28" t="s">
        <v>32</v>
      </c>
      <c r="G28">
        <v>296</v>
      </c>
    </row>
    <row r="29" spans="1:23" ht="14.25" customHeight="1" x14ac:dyDescent="0.25">
      <c r="A29" t="s">
        <v>95</v>
      </c>
      <c r="B29">
        <v>49</v>
      </c>
      <c r="C29">
        <v>49</v>
      </c>
      <c r="G29">
        <v>643</v>
      </c>
    </row>
    <row r="30" spans="1:23" ht="14.25" customHeight="1" x14ac:dyDescent="0.25">
      <c r="A30" t="s">
        <v>89</v>
      </c>
      <c r="B30">
        <v>49</v>
      </c>
      <c r="C30">
        <v>49</v>
      </c>
      <c r="F30" t="s">
        <v>32</v>
      </c>
      <c r="G30">
        <v>480</v>
      </c>
    </row>
    <row r="31" spans="1:23" ht="14.25" customHeight="1" x14ac:dyDescent="0.25">
      <c r="A31" t="s">
        <v>93</v>
      </c>
      <c r="B31">
        <v>49</v>
      </c>
      <c r="C31">
        <v>49</v>
      </c>
      <c r="G31">
        <v>478</v>
      </c>
    </row>
    <row r="32" spans="1:23" ht="14.25" customHeight="1" x14ac:dyDescent="0.25">
      <c r="A32" t="s">
        <v>86</v>
      </c>
      <c r="B32">
        <v>51</v>
      </c>
      <c r="C32">
        <v>51</v>
      </c>
      <c r="D32" t="s">
        <v>57</v>
      </c>
      <c r="E32" s="2" t="s">
        <v>58</v>
      </c>
      <c r="F32" t="s">
        <v>32</v>
      </c>
    </row>
    <row r="33" spans="1:7" ht="14.25" customHeight="1" x14ac:dyDescent="0.25">
      <c r="A33" t="s">
        <v>91</v>
      </c>
      <c r="B33">
        <v>51</v>
      </c>
      <c r="C33">
        <v>51</v>
      </c>
      <c r="F33" t="s">
        <v>33</v>
      </c>
    </row>
    <row r="34" spans="1:7" ht="14.25" customHeight="1" x14ac:dyDescent="0.25">
      <c r="A34" t="s">
        <v>87</v>
      </c>
      <c r="B34">
        <v>51</v>
      </c>
      <c r="C34">
        <v>51</v>
      </c>
    </row>
    <row r="35" spans="1:7" ht="14.25" customHeight="1" x14ac:dyDescent="0.25">
      <c r="A35" t="s">
        <v>98</v>
      </c>
      <c r="B35">
        <v>51</v>
      </c>
      <c r="C35">
        <v>51</v>
      </c>
      <c r="F35" t="s">
        <v>35</v>
      </c>
    </row>
    <row r="36" spans="1:7" ht="14.25" customHeight="1" x14ac:dyDescent="0.25">
      <c r="A36" t="s">
        <v>96</v>
      </c>
      <c r="B36">
        <v>51</v>
      </c>
      <c r="C36">
        <v>51</v>
      </c>
      <c r="F36" t="s">
        <v>34</v>
      </c>
    </row>
    <row r="37" spans="1:7" ht="14.25" customHeight="1" x14ac:dyDescent="0.25">
      <c r="A37" t="s">
        <v>85</v>
      </c>
      <c r="B37">
        <v>51</v>
      </c>
      <c r="C37">
        <v>51</v>
      </c>
      <c r="F37" t="s">
        <v>32</v>
      </c>
    </row>
    <row r="38" spans="1:7" ht="14.25" customHeight="1" x14ac:dyDescent="0.25">
      <c r="A38" t="s">
        <v>94</v>
      </c>
      <c r="B38">
        <v>51</v>
      </c>
      <c r="C38">
        <v>51</v>
      </c>
    </row>
    <row r="39" spans="1:7" ht="14.25" customHeight="1" x14ac:dyDescent="0.25">
      <c r="A39" t="s">
        <v>90</v>
      </c>
      <c r="B39">
        <v>51</v>
      </c>
      <c r="C39">
        <v>51</v>
      </c>
      <c r="F39" t="s">
        <v>33</v>
      </c>
    </row>
    <row r="40" spans="1:7" ht="14.25" customHeight="1" x14ac:dyDescent="0.25">
      <c r="A40" t="s">
        <v>97</v>
      </c>
      <c r="B40">
        <v>51</v>
      </c>
      <c r="C40">
        <v>51</v>
      </c>
      <c r="F40" t="s">
        <v>34</v>
      </c>
    </row>
    <row r="41" spans="1:7" ht="14.25" customHeight="1" x14ac:dyDescent="0.25">
      <c r="A41" t="s">
        <v>92</v>
      </c>
      <c r="B41">
        <v>51</v>
      </c>
      <c r="C41">
        <v>51</v>
      </c>
      <c r="F41" t="s">
        <v>33</v>
      </c>
    </row>
    <row r="42" spans="1:7" ht="14.25" customHeight="1" x14ac:dyDescent="0.25">
      <c r="A42" t="s">
        <v>99</v>
      </c>
      <c r="B42">
        <v>51</v>
      </c>
      <c r="C42">
        <v>51</v>
      </c>
      <c r="F42" t="s">
        <v>35</v>
      </c>
    </row>
    <row r="43" spans="1:7" ht="14.25" customHeight="1" x14ac:dyDescent="0.25">
      <c r="A43" t="s">
        <v>88</v>
      </c>
      <c r="B43">
        <v>51</v>
      </c>
      <c r="C43">
        <v>51</v>
      </c>
      <c r="F43" t="s">
        <v>32</v>
      </c>
    </row>
    <row r="44" spans="1:7" ht="14.25" customHeight="1" x14ac:dyDescent="0.25">
      <c r="A44" t="s">
        <v>95</v>
      </c>
      <c r="B44">
        <v>51</v>
      </c>
      <c r="C44">
        <v>51</v>
      </c>
    </row>
    <row r="45" spans="1:7" ht="14.25" customHeight="1" x14ac:dyDescent="0.25">
      <c r="A45" t="s">
        <v>89</v>
      </c>
      <c r="B45">
        <v>51</v>
      </c>
      <c r="C45">
        <v>51</v>
      </c>
      <c r="F45" t="s">
        <v>32</v>
      </c>
    </row>
    <row r="46" spans="1:7" ht="14.25" customHeight="1" x14ac:dyDescent="0.25">
      <c r="A46" t="s">
        <v>93</v>
      </c>
      <c r="B46">
        <v>51</v>
      </c>
      <c r="C46">
        <v>51</v>
      </c>
    </row>
    <row r="47" spans="1:7" ht="14.25" customHeight="1" x14ac:dyDescent="0.25">
      <c r="A47" t="s">
        <v>86</v>
      </c>
      <c r="B47">
        <v>53</v>
      </c>
      <c r="C47">
        <v>53</v>
      </c>
      <c r="D47" t="s">
        <v>59</v>
      </c>
      <c r="E47" s="2" t="s">
        <v>60</v>
      </c>
      <c r="F47" t="s">
        <v>32</v>
      </c>
      <c r="G47">
        <v>100</v>
      </c>
    </row>
    <row r="48" spans="1:7" ht="14.25" customHeight="1" x14ac:dyDescent="0.25">
      <c r="A48" t="s">
        <v>91</v>
      </c>
      <c r="B48">
        <v>53</v>
      </c>
      <c r="C48">
        <v>53</v>
      </c>
      <c r="F48" t="s">
        <v>33</v>
      </c>
      <c r="G48">
        <v>100</v>
      </c>
    </row>
    <row r="49" spans="1:7" ht="14.25" customHeight="1" x14ac:dyDescent="0.25">
      <c r="A49" t="s">
        <v>87</v>
      </c>
      <c r="B49">
        <v>53</v>
      </c>
      <c r="C49">
        <v>53</v>
      </c>
      <c r="G49">
        <v>100</v>
      </c>
    </row>
    <row r="50" spans="1:7" ht="14.25" customHeight="1" x14ac:dyDescent="0.25">
      <c r="A50" t="s">
        <v>98</v>
      </c>
      <c r="B50">
        <v>53</v>
      </c>
      <c r="C50">
        <v>53</v>
      </c>
      <c r="F50" t="s">
        <v>35</v>
      </c>
      <c r="G50">
        <v>100</v>
      </c>
    </row>
    <row r="51" spans="1:7" ht="14.25" customHeight="1" x14ac:dyDescent="0.25">
      <c r="A51" t="s">
        <v>96</v>
      </c>
      <c r="B51">
        <v>53</v>
      </c>
      <c r="C51">
        <v>53</v>
      </c>
      <c r="F51" t="s">
        <v>34</v>
      </c>
      <c r="G51">
        <v>100</v>
      </c>
    </row>
    <row r="52" spans="1:7" ht="14.25" customHeight="1" x14ac:dyDescent="0.25">
      <c r="A52" t="s">
        <v>85</v>
      </c>
      <c r="B52">
        <v>53</v>
      </c>
      <c r="C52">
        <v>53</v>
      </c>
      <c r="F52" t="s">
        <v>32</v>
      </c>
      <c r="G52">
        <v>100</v>
      </c>
    </row>
    <row r="53" spans="1:7" ht="14.25" customHeight="1" x14ac:dyDescent="0.25">
      <c r="A53" t="s">
        <v>94</v>
      </c>
      <c r="B53">
        <v>53</v>
      </c>
      <c r="C53">
        <v>53</v>
      </c>
      <c r="G53">
        <v>100</v>
      </c>
    </row>
    <row r="54" spans="1:7" ht="14.25" customHeight="1" x14ac:dyDescent="0.25">
      <c r="A54" t="s">
        <v>90</v>
      </c>
      <c r="B54">
        <v>53</v>
      </c>
      <c r="C54">
        <v>53</v>
      </c>
      <c r="F54" t="s">
        <v>33</v>
      </c>
      <c r="G54">
        <v>100</v>
      </c>
    </row>
    <row r="55" spans="1:7" ht="14.25" customHeight="1" x14ac:dyDescent="0.25">
      <c r="A55" t="s">
        <v>97</v>
      </c>
      <c r="B55">
        <v>53</v>
      </c>
      <c r="C55">
        <v>53</v>
      </c>
      <c r="F55" t="s">
        <v>34</v>
      </c>
      <c r="G55">
        <v>100</v>
      </c>
    </row>
    <row r="56" spans="1:7" ht="14.25" customHeight="1" x14ac:dyDescent="0.25">
      <c r="A56" t="s">
        <v>92</v>
      </c>
      <c r="B56">
        <v>53</v>
      </c>
      <c r="C56">
        <v>53</v>
      </c>
      <c r="F56" t="s">
        <v>33</v>
      </c>
      <c r="G56">
        <v>100</v>
      </c>
    </row>
    <row r="57" spans="1:7" ht="14.25" customHeight="1" x14ac:dyDescent="0.25">
      <c r="A57" t="s">
        <v>99</v>
      </c>
      <c r="B57">
        <v>53</v>
      </c>
      <c r="C57">
        <v>53</v>
      </c>
      <c r="F57" t="s">
        <v>35</v>
      </c>
      <c r="G57">
        <v>100</v>
      </c>
    </row>
    <row r="58" spans="1:7" ht="14.25" customHeight="1" x14ac:dyDescent="0.25">
      <c r="A58" t="s">
        <v>88</v>
      </c>
      <c r="B58">
        <v>53</v>
      </c>
      <c r="C58">
        <v>53</v>
      </c>
      <c r="F58" t="s">
        <v>32</v>
      </c>
      <c r="G58">
        <v>100</v>
      </c>
    </row>
    <row r="59" spans="1:7" ht="14.25" customHeight="1" x14ac:dyDescent="0.25">
      <c r="A59" t="s">
        <v>95</v>
      </c>
      <c r="B59">
        <v>53</v>
      </c>
      <c r="C59">
        <v>53</v>
      </c>
      <c r="G59">
        <v>100</v>
      </c>
    </row>
    <row r="60" spans="1:7" ht="14.25" customHeight="1" x14ac:dyDescent="0.25">
      <c r="A60" t="s">
        <v>89</v>
      </c>
      <c r="B60">
        <v>53</v>
      </c>
      <c r="C60">
        <v>53</v>
      </c>
      <c r="F60" t="s">
        <v>32</v>
      </c>
      <c r="G60">
        <v>100</v>
      </c>
    </row>
    <row r="61" spans="1:7" ht="14.25" customHeight="1" x14ac:dyDescent="0.25">
      <c r="A61" t="s">
        <v>93</v>
      </c>
      <c r="B61">
        <v>53</v>
      </c>
      <c r="C61">
        <v>53</v>
      </c>
      <c r="G61">
        <v>100</v>
      </c>
    </row>
    <row r="62" spans="1:7" ht="14.25" customHeight="1" x14ac:dyDescent="0.25">
      <c r="A62" t="s">
        <v>86</v>
      </c>
      <c r="B62">
        <v>94</v>
      </c>
      <c r="C62">
        <v>94</v>
      </c>
      <c r="D62" t="s">
        <v>61</v>
      </c>
      <c r="E62" s="2" t="s">
        <v>62</v>
      </c>
      <c r="F62" t="s">
        <v>32</v>
      </c>
      <c r="G62">
        <v>2042</v>
      </c>
    </row>
    <row r="63" spans="1:7" ht="14.25" customHeight="1" x14ac:dyDescent="0.25">
      <c r="A63" t="s">
        <v>91</v>
      </c>
      <c r="B63">
        <v>94</v>
      </c>
      <c r="C63">
        <v>94</v>
      </c>
      <c r="F63" t="s">
        <v>33</v>
      </c>
      <c r="G63">
        <v>1878</v>
      </c>
    </row>
    <row r="64" spans="1:7" ht="14.25" customHeight="1" x14ac:dyDescent="0.25">
      <c r="A64" t="s">
        <v>87</v>
      </c>
      <c r="B64">
        <v>94</v>
      </c>
      <c r="C64">
        <v>94</v>
      </c>
      <c r="G64">
        <v>510</v>
      </c>
    </row>
    <row r="65" spans="1:7" ht="14.25" customHeight="1" x14ac:dyDescent="0.25">
      <c r="A65" t="s">
        <v>98</v>
      </c>
      <c r="B65">
        <v>94</v>
      </c>
      <c r="C65">
        <v>94</v>
      </c>
      <c r="F65" t="s">
        <v>35</v>
      </c>
      <c r="G65">
        <v>2073</v>
      </c>
    </row>
    <row r="66" spans="1:7" ht="14.25" customHeight="1" x14ac:dyDescent="0.25">
      <c r="A66" t="s">
        <v>96</v>
      </c>
      <c r="B66">
        <v>94</v>
      </c>
      <c r="C66">
        <v>94</v>
      </c>
      <c r="F66" t="s">
        <v>34</v>
      </c>
      <c r="G66">
        <v>1087</v>
      </c>
    </row>
    <row r="67" spans="1:7" ht="14.25" customHeight="1" x14ac:dyDescent="0.25">
      <c r="A67" t="s">
        <v>85</v>
      </c>
      <c r="B67">
        <v>94</v>
      </c>
      <c r="C67">
        <v>94</v>
      </c>
      <c r="F67" t="s">
        <v>32</v>
      </c>
      <c r="G67">
        <v>961</v>
      </c>
    </row>
    <row r="68" spans="1:7" ht="14.25" customHeight="1" x14ac:dyDescent="0.25">
      <c r="A68" t="s">
        <v>94</v>
      </c>
      <c r="B68">
        <v>94</v>
      </c>
      <c r="C68">
        <v>94</v>
      </c>
      <c r="G68">
        <v>1400</v>
      </c>
    </row>
    <row r="69" spans="1:7" ht="14.25" customHeight="1" x14ac:dyDescent="0.25">
      <c r="A69" t="s">
        <v>90</v>
      </c>
      <c r="B69">
        <v>94</v>
      </c>
      <c r="C69">
        <v>94</v>
      </c>
      <c r="F69" t="s">
        <v>33</v>
      </c>
      <c r="G69">
        <v>1111</v>
      </c>
    </row>
    <row r="70" spans="1:7" ht="14.25" customHeight="1" x14ac:dyDescent="0.25">
      <c r="A70" t="s">
        <v>97</v>
      </c>
      <c r="B70">
        <v>94</v>
      </c>
      <c r="C70">
        <v>94</v>
      </c>
      <c r="F70" t="s">
        <v>34</v>
      </c>
      <c r="G70">
        <v>1114</v>
      </c>
    </row>
    <row r="71" spans="1:7" ht="14.25" customHeight="1" x14ac:dyDescent="0.25">
      <c r="A71" t="s">
        <v>92</v>
      </c>
      <c r="B71">
        <v>94</v>
      </c>
      <c r="C71">
        <v>94</v>
      </c>
      <c r="F71" t="s">
        <v>33</v>
      </c>
      <c r="G71">
        <v>1383</v>
      </c>
    </row>
    <row r="72" spans="1:7" ht="14.25" customHeight="1" x14ac:dyDescent="0.25">
      <c r="A72" t="s">
        <v>99</v>
      </c>
      <c r="B72">
        <v>94</v>
      </c>
      <c r="C72">
        <v>94</v>
      </c>
      <c r="F72" t="s">
        <v>35</v>
      </c>
      <c r="G72">
        <v>1424</v>
      </c>
    </row>
    <row r="73" spans="1:7" ht="14.25" customHeight="1" x14ac:dyDescent="0.25">
      <c r="A73" t="s">
        <v>88</v>
      </c>
      <c r="B73">
        <v>94</v>
      </c>
      <c r="C73">
        <v>94</v>
      </c>
      <c r="F73" t="s">
        <v>32</v>
      </c>
      <c r="G73">
        <v>1073</v>
      </c>
    </row>
    <row r="74" spans="1:7" ht="14.25" customHeight="1" x14ac:dyDescent="0.25">
      <c r="A74" t="s">
        <v>95</v>
      </c>
      <c r="B74">
        <v>94</v>
      </c>
      <c r="C74">
        <v>94</v>
      </c>
      <c r="G74">
        <v>1197</v>
      </c>
    </row>
    <row r="75" spans="1:7" ht="14.25" customHeight="1" x14ac:dyDescent="0.25">
      <c r="A75" t="s">
        <v>89</v>
      </c>
      <c r="B75">
        <v>94</v>
      </c>
      <c r="C75">
        <v>94</v>
      </c>
      <c r="F75" t="s">
        <v>32</v>
      </c>
      <c r="G75">
        <v>1161</v>
      </c>
    </row>
    <row r="76" spans="1:7" ht="14.25" customHeight="1" x14ac:dyDescent="0.25">
      <c r="A76" t="s">
        <v>93</v>
      </c>
      <c r="B76">
        <v>94</v>
      </c>
      <c r="C76">
        <v>94</v>
      </c>
      <c r="G76">
        <v>767</v>
      </c>
    </row>
    <row r="77" spans="1:7" ht="14.25" customHeight="1" x14ac:dyDescent="0.25">
      <c r="A77" t="s">
        <v>86</v>
      </c>
      <c r="B77">
        <v>95</v>
      </c>
      <c r="C77">
        <v>95</v>
      </c>
      <c r="D77" t="s">
        <v>63</v>
      </c>
      <c r="E77" s="2" t="s">
        <v>64</v>
      </c>
      <c r="F77" t="s">
        <v>32</v>
      </c>
      <c r="G77">
        <v>190</v>
      </c>
    </row>
    <row r="78" spans="1:7" ht="14.25" customHeight="1" x14ac:dyDescent="0.25">
      <c r="A78" t="s">
        <v>91</v>
      </c>
      <c r="B78">
        <v>95</v>
      </c>
      <c r="C78">
        <v>95</v>
      </c>
      <c r="F78" t="s">
        <v>33</v>
      </c>
      <c r="G78">
        <v>152</v>
      </c>
    </row>
    <row r="79" spans="1:7" ht="14.25" customHeight="1" x14ac:dyDescent="0.25">
      <c r="A79" t="s">
        <v>87</v>
      </c>
      <c r="B79">
        <v>95</v>
      </c>
      <c r="C79">
        <v>95</v>
      </c>
      <c r="G79">
        <v>96</v>
      </c>
    </row>
    <row r="80" spans="1:7" ht="14.25" customHeight="1" x14ac:dyDescent="0.25">
      <c r="A80" t="s">
        <v>98</v>
      </c>
      <c r="B80">
        <v>95</v>
      </c>
      <c r="C80">
        <v>95</v>
      </c>
      <c r="F80" t="s">
        <v>35</v>
      </c>
      <c r="G80">
        <v>134</v>
      </c>
    </row>
    <row r="81" spans="1:7" ht="14.25" customHeight="1" x14ac:dyDescent="0.25">
      <c r="A81" t="s">
        <v>96</v>
      </c>
      <c r="B81">
        <v>95</v>
      </c>
      <c r="C81">
        <v>95</v>
      </c>
      <c r="F81" t="s">
        <v>34</v>
      </c>
      <c r="G81">
        <v>128</v>
      </c>
    </row>
    <row r="82" spans="1:7" ht="14.25" customHeight="1" x14ac:dyDescent="0.25">
      <c r="A82" t="s">
        <v>85</v>
      </c>
      <c r="B82">
        <v>95</v>
      </c>
      <c r="C82">
        <v>95</v>
      </c>
      <c r="F82" t="s">
        <v>32</v>
      </c>
      <c r="G82">
        <v>115</v>
      </c>
    </row>
    <row r="83" spans="1:7" ht="14.25" customHeight="1" x14ac:dyDescent="0.25">
      <c r="A83" t="s">
        <v>94</v>
      </c>
      <c r="B83">
        <v>95</v>
      </c>
      <c r="C83">
        <v>95</v>
      </c>
      <c r="G83">
        <v>125</v>
      </c>
    </row>
    <row r="84" spans="1:7" ht="14.25" customHeight="1" x14ac:dyDescent="0.25">
      <c r="A84" t="s">
        <v>90</v>
      </c>
      <c r="B84">
        <v>95</v>
      </c>
      <c r="C84">
        <v>95</v>
      </c>
      <c r="F84" t="s">
        <v>33</v>
      </c>
      <c r="G84">
        <v>100</v>
      </c>
    </row>
    <row r="85" spans="1:7" ht="14.25" customHeight="1" x14ac:dyDescent="0.25">
      <c r="A85" t="s">
        <v>97</v>
      </c>
      <c r="B85">
        <v>95</v>
      </c>
      <c r="C85">
        <v>95</v>
      </c>
      <c r="F85" t="s">
        <v>34</v>
      </c>
      <c r="G85">
        <v>70</v>
      </c>
    </row>
    <row r="86" spans="1:7" ht="14.25" customHeight="1" x14ac:dyDescent="0.25">
      <c r="A86" t="s">
        <v>92</v>
      </c>
      <c r="B86">
        <v>95</v>
      </c>
      <c r="C86">
        <v>95</v>
      </c>
      <c r="F86" t="s">
        <v>33</v>
      </c>
      <c r="G86">
        <v>84</v>
      </c>
    </row>
    <row r="87" spans="1:7" ht="14.25" customHeight="1" x14ac:dyDescent="0.25">
      <c r="A87" t="s">
        <v>99</v>
      </c>
      <c r="B87">
        <v>95</v>
      </c>
      <c r="C87">
        <v>95</v>
      </c>
      <c r="F87" t="s">
        <v>35</v>
      </c>
      <c r="G87">
        <v>99</v>
      </c>
    </row>
    <row r="88" spans="1:7" ht="14.25" customHeight="1" x14ac:dyDescent="0.25">
      <c r="A88" t="s">
        <v>88</v>
      </c>
      <c r="B88">
        <v>95</v>
      </c>
      <c r="C88">
        <v>95</v>
      </c>
      <c r="F88" t="s">
        <v>32</v>
      </c>
      <c r="G88">
        <v>88</v>
      </c>
    </row>
    <row r="89" spans="1:7" ht="14.25" customHeight="1" x14ac:dyDescent="0.25">
      <c r="A89" t="s">
        <v>95</v>
      </c>
      <c r="B89">
        <v>95</v>
      </c>
      <c r="C89">
        <v>95</v>
      </c>
      <c r="G89">
        <v>130</v>
      </c>
    </row>
    <row r="90" spans="1:7" ht="14.25" customHeight="1" x14ac:dyDescent="0.25">
      <c r="A90" t="s">
        <v>89</v>
      </c>
      <c r="B90">
        <v>95</v>
      </c>
      <c r="C90">
        <v>95</v>
      </c>
      <c r="F90" t="s">
        <v>32</v>
      </c>
      <c r="G90">
        <v>132</v>
      </c>
    </row>
    <row r="91" spans="1:7" ht="14.25" customHeight="1" x14ac:dyDescent="0.25">
      <c r="A91" t="s">
        <v>93</v>
      </c>
      <c r="B91">
        <v>95</v>
      </c>
      <c r="C91">
        <v>95</v>
      </c>
      <c r="G91">
        <v>110</v>
      </c>
    </row>
    <row r="92" spans="1:7" ht="14.25" customHeight="1" x14ac:dyDescent="0.25">
      <c r="A92" t="s">
        <v>86</v>
      </c>
      <c r="B92">
        <v>309</v>
      </c>
      <c r="C92">
        <v>309</v>
      </c>
      <c r="D92" t="s">
        <v>65</v>
      </c>
      <c r="E92" s="2" t="s">
        <v>66</v>
      </c>
      <c r="F92" t="s">
        <v>32</v>
      </c>
      <c r="G92">
        <v>44</v>
      </c>
    </row>
    <row r="93" spans="1:7" ht="14.25" customHeight="1" x14ac:dyDescent="0.25">
      <c r="A93" t="s">
        <v>91</v>
      </c>
      <c r="B93">
        <v>309</v>
      </c>
      <c r="C93">
        <v>309</v>
      </c>
      <c r="F93" t="s">
        <v>33</v>
      </c>
      <c r="G93">
        <v>18</v>
      </c>
    </row>
    <row r="94" spans="1:7" ht="14.25" customHeight="1" x14ac:dyDescent="0.25">
      <c r="A94" t="s">
        <v>87</v>
      </c>
      <c r="B94">
        <v>309</v>
      </c>
      <c r="C94">
        <v>309</v>
      </c>
      <c r="G94">
        <v>48</v>
      </c>
    </row>
    <row r="95" spans="1:7" ht="14.25" customHeight="1" x14ac:dyDescent="0.25">
      <c r="A95" t="s">
        <v>98</v>
      </c>
      <c r="B95">
        <v>309</v>
      </c>
      <c r="C95">
        <v>309</v>
      </c>
      <c r="F95" t="s">
        <v>35</v>
      </c>
      <c r="G95">
        <v>27</v>
      </c>
    </row>
    <row r="96" spans="1:7" ht="14.25" customHeight="1" x14ac:dyDescent="0.25">
      <c r="A96" t="s">
        <v>96</v>
      </c>
      <c r="B96">
        <v>309</v>
      </c>
      <c r="C96">
        <v>309</v>
      </c>
      <c r="F96" t="s">
        <v>34</v>
      </c>
      <c r="G96">
        <v>34</v>
      </c>
    </row>
    <row r="97" spans="1:7" ht="14.25" customHeight="1" x14ac:dyDescent="0.25">
      <c r="A97" t="s">
        <v>85</v>
      </c>
      <c r="B97">
        <v>309</v>
      </c>
      <c r="C97">
        <v>309</v>
      </c>
      <c r="F97" t="s">
        <v>32</v>
      </c>
      <c r="G97">
        <v>27</v>
      </c>
    </row>
    <row r="98" spans="1:7" ht="14.25" customHeight="1" x14ac:dyDescent="0.25">
      <c r="A98" t="s">
        <v>94</v>
      </c>
      <c r="B98">
        <v>309</v>
      </c>
      <c r="C98">
        <v>309</v>
      </c>
      <c r="G98">
        <v>34</v>
      </c>
    </row>
    <row r="99" spans="1:7" ht="14.25" customHeight="1" x14ac:dyDescent="0.25">
      <c r="A99" t="s">
        <v>90</v>
      </c>
      <c r="B99">
        <v>309</v>
      </c>
      <c r="C99">
        <v>309</v>
      </c>
      <c r="F99" t="s">
        <v>33</v>
      </c>
      <c r="G99">
        <v>25</v>
      </c>
    </row>
    <row r="100" spans="1:7" ht="14.25" customHeight="1" x14ac:dyDescent="0.25">
      <c r="A100" t="s">
        <v>97</v>
      </c>
      <c r="B100">
        <v>309</v>
      </c>
      <c r="C100">
        <v>309</v>
      </c>
      <c r="F100" t="s">
        <v>34</v>
      </c>
      <c r="G100">
        <v>12</v>
      </c>
    </row>
    <row r="101" spans="1:7" ht="14.25" customHeight="1" x14ac:dyDescent="0.25">
      <c r="A101" t="s">
        <v>92</v>
      </c>
      <c r="B101">
        <v>309</v>
      </c>
      <c r="C101">
        <v>309</v>
      </c>
      <c r="F101" t="s">
        <v>33</v>
      </c>
      <c r="G101">
        <v>11</v>
      </c>
    </row>
    <row r="102" spans="1:7" ht="14.25" customHeight="1" x14ac:dyDescent="0.25">
      <c r="A102" t="s">
        <v>99</v>
      </c>
      <c r="B102">
        <v>309</v>
      </c>
      <c r="C102">
        <v>309</v>
      </c>
      <c r="F102" t="s">
        <v>35</v>
      </c>
      <c r="G102">
        <v>17</v>
      </c>
    </row>
    <row r="103" spans="1:7" ht="14.25" customHeight="1" x14ac:dyDescent="0.25">
      <c r="A103" t="s">
        <v>88</v>
      </c>
      <c r="B103">
        <v>309</v>
      </c>
      <c r="C103">
        <v>309</v>
      </c>
      <c r="F103" t="s">
        <v>32</v>
      </c>
      <c r="G103">
        <v>15</v>
      </c>
    </row>
    <row r="104" spans="1:7" ht="14.25" customHeight="1" x14ac:dyDescent="0.25">
      <c r="A104" t="s">
        <v>95</v>
      </c>
      <c r="B104">
        <v>309</v>
      </c>
      <c r="C104">
        <v>309</v>
      </c>
      <c r="G104">
        <v>27</v>
      </c>
    </row>
    <row r="105" spans="1:7" ht="14.25" customHeight="1" x14ac:dyDescent="0.25">
      <c r="A105" t="s">
        <v>89</v>
      </c>
      <c r="B105">
        <v>309</v>
      </c>
      <c r="C105">
        <v>309</v>
      </c>
      <c r="F105" t="s">
        <v>32</v>
      </c>
      <c r="G105">
        <v>52</v>
      </c>
    </row>
    <row r="106" spans="1:7" ht="14.25" customHeight="1" x14ac:dyDescent="0.25">
      <c r="A106" t="s">
        <v>93</v>
      </c>
      <c r="B106">
        <v>309</v>
      </c>
      <c r="C106">
        <v>309</v>
      </c>
      <c r="G106">
        <v>52</v>
      </c>
    </row>
    <row r="107" spans="1:7" ht="14.25" customHeight="1" x14ac:dyDescent="0.25">
      <c r="A107" t="s">
        <v>86</v>
      </c>
      <c r="B107">
        <v>310</v>
      </c>
      <c r="C107">
        <v>310</v>
      </c>
      <c r="D107" t="s">
        <v>67</v>
      </c>
      <c r="E107" s="2" t="s">
        <v>68</v>
      </c>
      <c r="F107" t="s">
        <v>32</v>
      </c>
      <c r="G107">
        <v>0</v>
      </c>
    </row>
    <row r="108" spans="1:7" ht="14.25" customHeight="1" x14ac:dyDescent="0.25">
      <c r="A108" t="s">
        <v>91</v>
      </c>
      <c r="B108">
        <v>310</v>
      </c>
      <c r="C108">
        <v>310</v>
      </c>
      <c r="F108" t="s">
        <v>33</v>
      </c>
      <c r="G108">
        <v>0</v>
      </c>
    </row>
    <row r="109" spans="1:7" ht="14.25" customHeight="1" x14ac:dyDescent="0.25">
      <c r="A109" t="s">
        <v>87</v>
      </c>
      <c r="B109">
        <v>310</v>
      </c>
      <c r="C109">
        <v>310</v>
      </c>
      <c r="G109">
        <v>0</v>
      </c>
    </row>
    <row r="110" spans="1:7" ht="14.25" customHeight="1" x14ac:dyDescent="0.25">
      <c r="A110" t="s">
        <v>98</v>
      </c>
      <c r="B110">
        <v>310</v>
      </c>
      <c r="C110">
        <v>310</v>
      </c>
      <c r="F110" t="s">
        <v>35</v>
      </c>
      <c r="G110">
        <v>1</v>
      </c>
    </row>
    <row r="111" spans="1:7" ht="14.25" customHeight="1" x14ac:dyDescent="0.25">
      <c r="A111" t="s">
        <v>96</v>
      </c>
      <c r="B111">
        <v>310</v>
      </c>
      <c r="C111">
        <v>310</v>
      </c>
      <c r="F111" t="s">
        <v>34</v>
      </c>
      <c r="G111">
        <v>0</v>
      </c>
    </row>
    <row r="112" spans="1:7" ht="14.25" customHeight="1" x14ac:dyDescent="0.25">
      <c r="A112" t="s">
        <v>85</v>
      </c>
      <c r="B112">
        <v>310</v>
      </c>
      <c r="C112">
        <v>310</v>
      </c>
      <c r="F112" t="s">
        <v>32</v>
      </c>
      <c r="G112">
        <v>0</v>
      </c>
    </row>
    <row r="113" spans="1:7" ht="14.25" customHeight="1" x14ac:dyDescent="0.25">
      <c r="A113" t="s">
        <v>94</v>
      </c>
      <c r="B113">
        <v>310</v>
      </c>
      <c r="C113">
        <v>310</v>
      </c>
      <c r="G113">
        <v>0</v>
      </c>
    </row>
    <row r="114" spans="1:7" ht="14.25" customHeight="1" x14ac:dyDescent="0.25">
      <c r="A114" t="s">
        <v>90</v>
      </c>
      <c r="B114">
        <v>310</v>
      </c>
      <c r="C114">
        <v>310</v>
      </c>
      <c r="F114" t="s">
        <v>33</v>
      </c>
      <c r="G114">
        <v>0</v>
      </c>
    </row>
    <row r="115" spans="1:7" ht="14.25" customHeight="1" x14ac:dyDescent="0.25">
      <c r="A115" t="s">
        <v>97</v>
      </c>
      <c r="B115">
        <v>310</v>
      </c>
      <c r="C115">
        <v>310</v>
      </c>
      <c r="F115" t="s">
        <v>34</v>
      </c>
      <c r="G115">
        <v>0</v>
      </c>
    </row>
    <row r="116" spans="1:7" ht="14.25" customHeight="1" x14ac:dyDescent="0.25">
      <c r="A116" t="s">
        <v>92</v>
      </c>
      <c r="B116">
        <v>310</v>
      </c>
      <c r="C116">
        <v>310</v>
      </c>
      <c r="F116" t="s">
        <v>33</v>
      </c>
      <c r="G116">
        <v>0</v>
      </c>
    </row>
    <row r="117" spans="1:7" ht="14.25" customHeight="1" x14ac:dyDescent="0.25">
      <c r="A117" t="s">
        <v>99</v>
      </c>
      <c r="B117">
        <v>310</v>
      </c>
      <c r="C117">
        <v>310</v>
      </c>
      <c r="F117" t="s">
        <v>35</v>
      </c>
      <c r="G117">
        <v>1</v>
      </c>
    </row>
    <row r="118" spans="1:7" ht="14.25" customHeight="1" x14ac:dyDescent="0.25">
      <c r="A118" t="s">
        <v>88</v>
      </c>
      <c r="B118">
        <v>310</v>
      </c>
      <c r="C118">
        <v>310</v>
      </c>
      <c r="F118" t="s">
        <v>32</v>
      </c>
      <c r="G118">
        <v>0</v>
      </c>
    </row>
    <row r="119" spans="1:7" ht="14.25" customHeight="1" x14ac:dyDescent="0.25">
      <c r="A119" t="s">
        <v>95</v>
      </c>
      <c r="B119">
        <v>310</v>
      </c>
      <c r="C119">
        <v>310</v>
      </c>
      <c r="G119">
        <v>0</v>
      </c>
    </row>
    <row r="120" spans="1:7" ht="14.25" customHeight="1" x14ac:dyDescent="0.25">
      <c r="A120" t="s">
        <v>89</v>
      </c>
      <c r="B120">
        <v>310</v>
      </c>
      <c r="C120">
        <v>310</v>
      </c>
      <c r="F120" t="s">
        <v>32</v>
      </c>
      <c r="G120">
        <v>0</v>
      </c>
    </row>
    <row r="121" spans="1:7" ht="14.25" customHeight="1" x14ac:dyDescent="0.25">
      <c r="A121" t="s">
        <v>93</v>
      </c>
      <c r="B121">
        <v>310</v>
      </c>
      <c r="C121">
        <v>310</v>
      </c>
      <c r="G121">
        <v>0</v>
      </c>
    </row>
    <row r="122" spans="1:7" ht="14.25" customHeight="1" x14ac:dyDescent="0.25">
      <c r="A122" t="s">
        <v>86</v>
      </c>
      <c r="B122">
        <v>311</v>
      </c>
      <c r="C122">
        <v>311</v>
      </c>
      <c r="D122" t="s">
        <v>69</v>
      </c>
      <c r="E122" s="2" t="s">
        <v>70</v>
      </c>
      <c r="F122" t="s">
        <v>32</v>
      </c>
      <c r="G122">
        <v>0</v>
      </c>
    </row>
    <row r="123" spans="1:7" ht="14.25" customHeight="1" x14ac:dyDescent="0.25">
      <c r="A123" t="s">
        <v>91</v>
      </c>
      <c r="B123">
        <v>311</v>
      </c>
      <c r="C123">
        <v>311</v>
      </c>
      <c r="F123" t="s">
        <v>33</v>
      </c>
      <c r="G123">
        <v>0</v>
      </c>
    </row>
    <row r="124" spans="1:7" ht="14.25" customHeight="1" x14ac:dyDescent="0.25">
      <c r="A124" t="s">
        <v>87</v>
      </c>
      <c r="B124">
        <v>311</v>
      </c>
      <c r="C124">
        <v>311</v>
      </c>
      <c r="G124">
        <v>0</v>
      </c>
    </row>
    <row r="125" spans="1:7" ht="14.25" customHeight="1" x14ac:dyDescent="0.25">
      <c r="A125" t="s">
        <v>98</v>
      </c>
      <c r="B125">
        <v>311</v>
      </c>
      <c r="C125">
        <v>311</v>
      </c>
      <c r="F125" t="s">
        <v>35</v>
      </c>
      <c r="G125">
        <v>0</v>
      </c>
    </row>
    <row r="126" spans="1:7" ht="14.25" customHeight="1" x14ac:dyDescent="0.25">
      <c r="A126" t="s">
        <v>96</v>
      </c>
      <c r="B126">
        <v>311</v>
      </c>
      <c r="C126">
        <v>311</v>
      </c>
      <c r="F126" t="s">
        <v>34</v>
      </c>
      <c r="G126">
        <v>0</v>
      </c>
    </row>
    <row r="127" spans="1:7" ht="14.25" customHeight="1" x14ac:dyDescent="0.25">
      <c r="A127" t="s">
        <v>85</v>
      </c>
      <c r="B127">
        <v>311</v>
      </c>
      <c r="C127">
        <v>311</v>
      </c>
      <c r="F127" t="s">
        <v>32</v>
      </c>
      <c r="G127">
        <v>0</v>
      </c>
    </row>
    <row r="128" spans="1:7" ht="14.25" customHeight="1" x14ac:dyDescent="0.25">
      <c r="A128" t="s">
        <v>94</v>
      </c>
      <c r="B128">
        <v>311</v>
      </c>
      <c r="C128">
        <v>311</v>
      </c>
      <c r="G128">
        <v>0</v>
      </c>
    </row>
    <row r="129" spans="1:7" ht="14.25" customHeight="1" x14ac:dyDescent="0.25">
      <c r="A129" t="s">
        <v>90</v>
      </c>
      <c r="B129">
        <v>311</v>
      </c>
      <c r="C129">
        <v>311</v>
      </c>
      <c r="F129" t="s">
        <v>33</v>
      </c>
      <c r="G129">
        <v>0</v>
      </c>
    </row>
    <row r="130" spans="1:7" ht="14.25" customHeight="1" x14ac:dyDescent="0.25">
      <c r="A130" t="s">
        <v>97</v>
      </c>
      <c r="B130">
        <v>311</v>
      </c>
      <c r="C130">
        <v>311</v>
      </c>
      <c r="F130" t="s">
        <v>34</v>
      </c>
      <c r="G130">
        <v>0</v>
      </c>
    </row>
    <row r="131" spans="1:7" ht="14.25" customHeight="1" x14ac:dyDescent="0.25">
      <c r="A131" t="s">
        <v>92</v>
      </c>
      <c r="B131">
        <v>311</v>
      </c>
      <c r="C131">
        <v>311</v>
      </c>
      <c r="F131" t="s">
        <v>33</v>
      </c>
      <c r="G131">
        <v>0</v>
      </c>
    </row>
    <row r="132" spans="1:7" ht="14.25" customHeight="1" x14ac:dyDescent="0.25">
      <c r="A132" t="s">
        <v>99</v>
      </c>
      <c r="B132">
        <v>311</v>
      </c>
      <c r="C132">
        <v>311</v>
      </c>
      <c r="F132" t="s">
        <v>35</v>
      </c>
      <c r="G132">
        <v>0</v>
      </c>
    </row>
    <row r="133" spans="1:7" ht="14.25" customHeight="1" x14ac:dyDescent="0.25">
      <c r="A133" t="s">
        <v>88</v>
      </c>
      <c r="B133">
        <v>311</v>
      </c>
      <c r="C133">
        <v>311</v>
      </c>
      <c r="F133" t="s">
        <v>32</v>
      </c>
      <c r="G133">
        <v>0</v>
      </c>
    </row>
    <row r="134" spans="1:7" ht="14.25" customHeight="1" x14ac:dyDescent="0.25">
      <c r="A134" t="s">
        <v>95</v>
      </c>
      <c r="B134">
        <v>311</v>
      </c>
      <c r="C134">
        <v>311</v>
      </c>
      <c r="G134">
        <v>0</v>
      </c>
    </row>
    <row r="135" spans="1:7" ht="14.25" customHeight="1" x14ac:dyDescent="0.25">
      <c r="A135" t="s">
        <v>89</v>
      </c>
      <c r="B135">
        <v>311</v>
      </c>
      <c r="C135">
        <v>311</v>
      </c>
      <c r="F135" t="s">
        <v>32</v>
      </c>
      <c r="G135">
        <v>0</v>
      </c>
    </row>
    <row r="136" spans="1:7" ht="14.25" customHeight="1" x14ac:dyDescent="0.25">
      <c r="A136" t="s">
        <v>93</v>
      </c>
      <c r="B136">
        <v>311</v>
      </c>
      <c r="C136">
        <v>311</v>
      </c>
      <c r="G136">
        <v>0</v>
      </c>
    </row>
    <row r="137" spans="1:7" ht="14.25" customHeight="1" x14ac:dyDescent="0.25">
      <c r="A137" t="s">
        <v>86</v>
      </c>
      <c r="B137">
        <v>312</v>
      </c>
      <c r="C137">
        <v>312</v>
      </c>
      <c r="D137" t="s">
        <v>71</v>
      </c>
      <c r="E137" s="2" t="s">
        <v>72</v>
      </c>
      <c r="F137" t="s">
        <v>32</v>
      </c>
      <c r="G137">
        <v>1</v>
      </c>
    </row>
    <row r="138" spans="1:7" ht="14.25" customHeight="1" x14ac:dyDescent="0.25">
      <c r="A138" t="s">
        <v>91</v>
      </c>
      <c r="B138">
        <v>312</v>
      </c>
      <c r="C138">
        <v>312</v>
      </c>
      <c r="F138" t="s">
        <v>33</v>
      </c>
      <c r="G138">
        <v>1</v>
      </c>
    </row>
    <row r="139" spans="1:7" ht="14.25" customHeight="1" x14ac:dyDescent="0.25">
      <c r="A139" t="s">
        <v>87</v>
      </c>
      <c r="B139">
        <v>312</v>
      </c>
      <c r="C139">
        <v>312</v>
      </c>
      <c r="G139">
        <v>1</v>
      </c>
    </row>
    <row r="140" spans="1:7" ht="14.25" customHeight="1" x14ac:dyDescent="0.25">
      <c r="A140" t="s">
        <v>98</v>
      </c>
      <c r="B140">
        <v>312</v>
      </c>
      <c r="C140">
        <v>312</v>
      </c>
      <c r="F140" t="s">
        <v>35</v>
      </c>
      <c r="G140">
        <v>0</v>
      </c>
    </row>
    <row r="141" spans="1:7" ht="14.25" customHeight="1" x14ac:dyDescent="0.25">
      <c r="A141" t="s">
        <v>96</v>
      </c>
      <c r="B141">
        <v>312</v>
      </c>
      <c r="C141">
        <v>312</v>
      </c>
      <c r="F141" t="s">
        <v>34</v>
      </c>
      <c r="G141">
        <v>0</v>
      </c>
    </row>
    <row r="142" spans="1:7" ht="14.25" customHeight="1" x14ac:dyDescent="0.25">
      <c r="A142" t="s">
        <v>85</v>
      </c>
      <c r="B142">
        <v>312</v>
      </c>
      <c r="C142">
        <v>312</v>
      </c>
      <c r="F142" t="s">
        <v>32</v>
      </c>
      <c r="G142">
        <v>0</v>
      </c>
    </row>
    <row r="143" spans="1:7" ht="14.25" customHeight="1" x14ac:dyDescent="0.25">
      <c r="A143" t="s">
        <v>94</v>
      </c>
      <c r="B143">
        <v>312</v>
      </c>
      <c r="C143">
        <v>312</v>
      </c>
      <c r="G143">
        <v>0</v>
      </c>
    </row>
    <row r="144" spans="1:7" ht="14.25" customHeight="1" x14ac:dyDescent="0.25">
      <c r="A144" t="s">
        <v>90</v>
      </c>
      <c r="B144">
        <v>312</v>
      </c>
      <c r="C144">
        <v>312</v>
      </c>
      <c r="F144" t="s">
        <v>33</v>
      </c>
      <c r="G144">
        <v>0</v>
      </c>
    </row>
    <row r="145" spans="1:7" ht="14.25" customHeight="1" x14ac:dyDescent="0.25">
      <c r="A145" t="s">
        <v>97</v>
      </c>
      <c r="B145">
        <v>312</v>
      </c>
      <c r="C145">
        <v>312</v>
      </c>
      <c r="F145" t="s">
        <v>34</v>
      </c>
      <c r="G145">
        <v>0</v>
      </c>
    </row>
    <row r="146" spans="1:7" ht="14.25" customHeight="1" x14ac:dyDescent="0.25">
      <c r="A146" t="s">
        <v>92</v>
      </c>
      <c r="B146">
        <v>312</v>
      </c>
      <c r="C146">
        <v>312</v>
      </c>
      <c r="F146" t="s">
        <v>33</v>
      </c>
      <c r="G146">
        <v>0</v>
      </c>
    </row>
    <row r="147" spans="1:7" ht="14.25" customHeight="1" x14ac:dyDescent="0.25">
      <c r="A147" t="s">
        <v>99</v>
      </c>
      <c r="B147">
        <v>312</v>
      </c>
      <c r="C147">
        <v>312</v>
      </c>
      <c r="F147" t="s">
        <v>35</v>
      </c>
      <c r="G147">
        <v>0</v>
      </c>
    </row>
    <row r="148" spans="1:7" ht="14.25" customHeight="1" x14ac:dyDescent="0.25">
      <c r="A148" t="s">
        <v>88</v>
      </c>
      <c r="B148">
        <v>312</v>
      </c>
      <c r="C148">
        <v>312</v>
      </c>
      <c r="F148" t="s">
        <v>32</v>
      </c>
      <c r="G148">
        <v>1</v>
      </c>
    </row>
    <row r="149" spans="1:7" ht="14.25" customHeight="1" x14ac:dyDescent="0.25">
      <c r="A149" t="s">
        <v>95</v>
      </c>
      <c r="B149">
        <v>312</v>
      </c>
      <c r="C149">
        <v>312</v>
      </c>
      <c r="G149">
        <v>1</v>
      </c>
    </row>
    <row r="150" spans="1:7" ht="14.25" customHeight="1" x14ac:dyDescent="0.25">
      <c r="A150" t="s">
        <v>89</v>
      </c>
      <c r="B150">
        <v>312</v>
      </c>
      <c r="C150">
        <v>312</v>
      </c>
      <c r="F150" t="s">
        <v>32</v>
      </c>
      <c r="G150">
        <v>0</v>
      </c>
    </row>
    <row r="151" spans="1:7" ht="14.25" customHeight="1" x14ac:dyDescent="0.25">
      <c r="A151" t="s">
        <v>93</v>
      </c>
      <c r="B151">
        <v>312</v>
      </c>
      <c r="C151">
        <v>312</v>
      </c>
      <c r="G151">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8"/>
  <sheetViews>
    <sheetView workbookViewId="0">
      <selection activeCell="A6" sqref="A6:F6"/>
    </sheetView>
  </sheetViews>
  <sheetFormatPr defaultRowHeight="15" x14ac:dyDescent="0.25"/>
  <cols>
    <col min="1" max="1" width="27.85546875" customWidth="1"/>
    <col min="2" max="11" width="14" customWidth="1"/>
  </cols>
  <sheetData>
    <row r="1" spans="1:11" x14ac:dyDescent="0.25">
      <c r="A1" s="13" t="s">
        <v>79</v>
      </c>
      <c r="B1" s="17" t="s">
        <v>80</v>
      </c>
      <c r="C1" s="17" t="s">
        <v>81</v>
      </c>
      <c r="D1" s="17" t="s">
        <v>82</v>
      </c>
      <c r="E1" s="17" t="s">
        <v>83</v>
      </c>
      <c r="F1" s="17" t="s">
        <v>84</v>
      </c>
      <c r="G1" s="17"/>
      <c r="H1" s="17"/>
      <c r="I1" s="17"/>
      <c r="J1" s="17"/>
      <c r="K1" s="17"/>
    </row>
    <row r="2" spans="1:11" x14ac:dyDescent="0.25">
      <c r="A2" s="16" t="s">
        <v>32</v>
      </c>
      <c r="B2" s="14" t="s">
        <v>85</v>
      </c>
      <c r="C2" s="14" t="s">
        <v>86</v>
      </c>
      <c r="D2" s="14" t="s">
        <v>87</v>
      </c>
      <c r="E2" s="14" t="s">
        <v>88</v>
      </c>
      <c r="F2" s="14" t="s">
        <v>89</v>
      </c>
      <c r="G2" s="14"/>
      <c r="H2" s="14"/>
      <c r="I2" s="14"/>
      <c r="J2" s="14"/>
      <c r="K2" s="14"/>
    </row>
    <row r="3" spans="1:11" x14ac:dyDescent="0.25">
      <c r="A3" s="16" t="s">
        <v>33</v>
      </c>
      <c r="B3" s="14" t="s">
        <v>90</v>
      </c>
      <c r="C3" s="14" t="s">
        <v>91</v>
      </c>
      <c r="D3" s="14" t="s">
        <v>87</v>
      </c>
      <c r="E3" s="14" t="s">
        <v>92</v>
      </c>
      <c r="F3" s="14" t="s">
        <v>93</v>
      </c>
      <c r="G3" s="14"/>
      <c r="H3" s="14"/>
      <c r="I3" s="14"/>
      <c r="J3" s="14"/>
      <c r="K3" s="14"/>
    </row>
    <row r="4" spans="1:11" x14ac:dyDescent="0.25">
      <c r="A4" s="16" t="s">
        <v>34</v>
      </c>
      <c r="B4" s="14" t="s">
        <v>94</v>
      </c>
      <c r="C4" s="14" t="s">
        <v>95</v>
      </c>
      <c r="D4" s="14" t="s">
        <v>96</v>
      </c>
      <c r="E4" s="14" t="s">
        <v>97</v>
      </c>
      <c r="F4" s="14" t="s">
        <v>93</v>
      </c>
      <c r="G4" s="14"/>
      <c r="H4" s="14"/>
      <c r="I4" s="14"/>
      <c r="J4" s="14"/>
      <c r="K4" s="14"/>
    </row>
    <row r="5" spans="1:11" x14ac:dyDescent="0.25">
      <c r="A5" s="16" t="s">
        <v>35</v>
      </c>
      <c r="B5" s="14" t="s">
        <v>94</v>
      </c>
      <c r="C5" s="14" t="s">
        <v>95</v>
      </c>
      <c r="D5" s="14" t="s">
        <v>98</v>
      </c>
      <c r="E5" s="14" t="s">
        <v>99</v>
      </c>
      <c r="F5" s="14" t="s">
        <v>93</v>
      </c>
      <c r="G5" s="14"/>
      <c r="H5" s="14"/>
      <c r="I5" s="14"/>
      <c r="J5" s="14"/>
      <c r="K5" s="14"/>
    </row>
    <row r="6" spans="1:11" x14ac:dyDescent="0.25">
      <c r="A6" s="16"/>
      <c r="B6" s="14"/>
      <c r="C6" s="14"/>
      <c r="D6" s="14"/>
      <c r="E6" s="14"/>
      <c r="F6" s="14"/>
      <c r="G6" s="14"/>
      <c r="H6" s="14"/>
      <c r="I6" s="14"/>
      <c r="J6" s="14"/>
      <c r="K6" s="14"/>
    </row>
    <row r="7" spans="1:11" x14ac:dyDescent="0.25">
      <c r="A7" s="16" t="s">
        <v>24</v>
      </c>
      <c r="B7" s="14"/>
      <c r="C7" s="14"/>
      <c r="D7" s="14"/>
      <c r="E7" s="14"/>
      <c r="F7" s="14"/>
      <c r="G7" s="14"/>
      <c r="H7" s="14"/>
      <c r="I7" s="14"/>
      <c r="J7" s="14"/>
      <c r="K7" s="14"/>
    </row>
    <row r="8" spans="1:11" x14ac:dyDescent="0.25">
      <c r="A8" s="16" t="s">
        <v>25</v>
      </c>
      <c r="B8" s="14"/>
      <c r="C8" s="14"/>
      <c r="D8" s="14"/>
      <c r="E8" s="14"/>
      <c r="F8" s="14"/>
      <c r="G8" s="14"/>
      <c r="H8" s="14"/>
      <c r="I8" s="14"/>
      <c r="J8" s="14"/>
      <c r="K8" s="14"/>
    </row>
    <row r="9" spans="1:11" x14ac:dyDescent="0.25">
      <c r="A9" s="16" t="s">
        <v>26</v>
      </c>
      <c r="B9" s="14"/>
      <c r="C9" s="14"/>
      <c r="D9" s="14"/>
      <c r="E9" s="14"/>
      <c r="F9" s="14"/>
      <c r="G9" s="14"/>
      <c r="H9" s="14"/>
      <c r="I9" s="14"/>
      <c r="J9" s="14"/>
      <c r="K9" s="14"/>
    </row>
    <row r="10" spans="1:11" x14ac:dyDescent="0.25">
      <c r="A10" s="16" t="s">
        <v>27</v>
      </c>
      <c r="B10" s="14"/>
      <c r="C10" s="14"/>
      <c r="D10" s="14"/>
      <c r="E10" s="14"/>
      <c r="F10" s="14"/>
      <c r="G10" s="14"/>
      <c r="H10" s="14"/>
      <c r="I10" s="14"/>
      <c r="J10" s="14"/>
      <c r="K10" s="14"/>
    </row>
    <row r="11" spans="1:11" x14ac:dyDescent="0.25">
      <c r="A11" s="16" t="s">
        <v>28</v>
      </c>
      <c r="B11" s="14"/>
      <c r="C11" s="14"/>
      <c r="D11" s="14"/>
      <c r="E11" s="14"/>
      <c r="F11" s="14"/>
      <c r="G11" s="14"/>
      <c r="H11" s="14"/>
      <c r="I11" s="14"/>
      <c r="J11" s="14"/>
      <c r="K11" s="14"/>
    </row>
    <row r="12" spans="1:11" x14ac:dyDescent="0.25">
      <c r="A12" s="16" t="s">
        <v>29</v>
      </c>
      <c r="B12" s="14"/>
      <c r="C12" s="14"/>
      <c r="D12" s="14"/>
      <c r="E12" s="14"/>
      <c r="F12" s="14"/>
      <c r="G12" s="14"/>
      <c r="H12" s="14"/>
      <c r="I12" s="14"/>
      <c r="J12" s="14"/>
      <c r="K12" s="14"/>
    </row>
    <row r="13" spans="1:11" x14ac:dyDescent="0.25">
      <c r="A13" s="16" t="s">
        <v>30</v>
      </c>
      <c r="B13" s="14"/>
      <c r="C13" s="14"/>
      <c r="D13" s="14"/>
      <c r="E13" s="14"/>
      <c r="F13" s="14"/>
      <c r="G13" s="14"/>
      <c r="H13" s="14"/>
      <c r="I13" s="14"/>
      <c r="J13" s="14"/>
      <c r="K13" s="14"/>
    </row>
    <row r="16" spans="1:11" x14ac:dyDescent="0.25">
      <c r="A16" s="37" t="s">
        <v>21</v>
      </c>
      <c r="B16" s="37"/>
      <c r="C16" s="37"/>
      <c r="D16" s="37"/>
      <c r="E16" s="37"/>
      <c r="F16" s="37"/>
    </row>
    <row r="17" spans="1:6" x14ac:dyDescent="0.25">
      <c r="A17" s="35" t="s">
        <v>22</v>
      </c>
      <c r="B17" s="35"/>
      <c r="C17" s="35"/>
      <c r="D17" s="35"/>
      <c r="E17" s="35"/>
      <c r="F17" s="35"/>
    </row>
    <row r="18" spans="1:6" x14ac:dyDescent="0.25">
      <c r="A18" s="36" t="s">
        <v>23</v>
      </c>
      <c r="B18" s="36"/>
      <c r="C18" s="36"/>
      <c r="D18" s="36"/>
      <c r="E18" s="36"/>
      <c r="F18" s="36"/>
    </row>
  </sheetData>
  <mergeCells count="3">
    <mergeCell ref="A17:F17"/>
    <mergeCell ref="A18:F18"/>
    <mergeCell ref="A16:F16"/>
  </mergeCell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Q71"/>
  <sheetViews>
    <sheetView showGridLines="0" tabSelected="1" topLeftCell="A16" workbookViewId="0">
      <selection activeCell="C26" sqref="C26:G71"/>
    </sheetView>
  </sheetViews>
  <sheetFormatPr defaultRowHeight="15" x14ac:dyDescent="0.25"/>
  <cols>
    <col min="1" max="1" width="7.28515625" style="33" customWidth="1"/>
    <col min="2" max="2" width="28.28515625" style="34" customWidth="1"/>
    <col min="3" max="3" width="15.42578125" style="31" bestFit="1" customWidth="1"/>
    <col min="4" max="4" width="18.140625" style="31" bestFit="1" customWidth="1"/>
    <col min="5" max="5" width="16.140625" style="31" bestFit="1" customWidth="1"/>
    <col min="6" max="6" width="26.28515625" style="31" bestFit="1" customWidth="1"/>
    <col min="7" max="7" width="16.140625" style="31" bestFit="1" customWidth="1"/>
    <col min="8" max="16" width="0" style="31" hidden="1" customWidth="1"/>
    <col min="17" max="16384" width="9.140625" style="31"/>
  </cols>
  <sheetData>
    <row r="1" spans="1:17" x14ac:dyDescent="0.25">
      <c r="A1" s="23" t="s">
        <v>4</v>
      </c>
      <c r="B1" s="7" t="str">
        <f>URLs!$A$2</f>
        <v>Home</v>
      </c>
      <c r="C1" s="29" t="s">
        <v>101</v>
      </c>
      <c r="D1" s="29" t="s">
        <v>102</v>
      </c>
      <c r="E1" s="29" t="s">
        <v>103</v>
      </c>
      <c r="F1" s="29" t="s">
        <v>104</v>
      </c>
      <c r="G1" s="29" t="s">
        <v>105</v>
      </c>
      <c r="H1"/>
      <c r="I1"/>
      <c r="J1"/>
      <c r="K1"/>
      <c r="L1"/>
      <c r="M1"/>
      <c r="N1"/>
      <c r="O1"/>
      <c r="P1"/>
    </row>
    <row r="2" spans="1:17" x14ac:dyDescent="0.25">
      <c r="A2" s="23"/>
      <c r="B2" s="8" t="s">
        <v>18</v>
      </c>
      <c r="C2" s="15" t="s">
        <v>110</v>
      </c>
      <c r="D2" s="15" t="s">
        <v>109</v>
      </c>
      <c r="E2" s="15" t="s">
        <v>108</v>
      </c>
      <c r="F2" s="15" t="s">
        <v>107</v>
      </c>
      <c r="G2" s="15" t="s">
        <v>106</v>
      </c>
      <c r="H2"/>
      <c r="I2"/>
      <c r="J2"/>
      <c r="K2"/>
      <c r="L2"/>
      <c r="M2"/>
      <c r="N2"/>
      <c r="O2"/>
      <c r="P2"/>
      <c r="Q2" s="31" t="s">
        <v>100</v>
      </c>
    </row>
    <row r="3" spans="1:17" x14ac:dyDescent="0.25">
      <c r="A3" s="3">
        <v>47</v>
      </c>
      <c r="B3" s="2" t="s">
        <v>1</v>
      </c>
      <c r="C3" s="1"/>
      <c r="D3" s="1"/>
      <c r="E3" s="1"/>
      <c r="F3" s="1"/>
      <c r="G3" s="1"/>
      <c r="H3"/>
      <c r="I3"/>
      <c r="J3"/>
      <c r="K3"/>
      <c r="L3"/>
      <c r="M3"/>
      <c r="N3"/>
      <c r="O3"/>
      <c r="P3"/>
    </row>
    <row r="4" spans="1:17" x14ac:dyDescent="0.25">
      <c r="A4" s="3">
        <v>49</v>
      </c>
      <c r="B4" s="2" t="s">
        <v>2</v>
      </c>
      <c r="C4" s="1"/>
      <c r="D4" s="1"/>
      <c r="E4" s="1"/>
      <c r="F4" s="1"/>
      <c r="G4" s="1"/>
      <c r="H4"/>
      <c r="I4"/>
      <c r="J4"/>
      <c r="K4"/>
      <c r="L4"/>
      <c r="M4"/>
      <c r="N4"/>
      <c r="O4"/>
      <c r="P4"/>
    </row>
    <row r="5" spans="1:17" ht="30" x14ac:dyDescent="0.25">
      <c r="A5" s="3">
        <v>342</v>
      </c>
      <c r="B5" s="2" t="s">
        <v>3</v>
      </c>
      <c r="C5" s="1"/>
      <c r="D5" s="1"/>
      <c r="E5" s="1"/>
      <c r="F5" s="1"/>
      <c r="G5" s="1"/>
      <c r="H5"/>
      <c r="I5"/>
      <c r="J5"/>
      <c r="K5"/>
      <c r="L5"/>
      <c r="M5"/>
      <c r="N5"/>
      <c r="O5"/>
      <c r="P5"/>
    </row>
    <row r="6" spans="1:17" x14ac:dyDescent="0.25">
      <c r="A6" s="3">
        <v>1118</v>
      </c>
      <c r="B6" s="2" t="s">
        <v>0</v>
      </c>
      <c r="C6" s="1"/>
      <c r="D6" s="1"/>
      <c r="E6" s="1"/>
      <c r="F6" s="1"/>
      <c r="G6" s="1"/>
      <c r="H6"/>
      <c r="I6"/>
      <c r="J6"/>
      <c r="K6" t="s">
        <v>78</v>
      </c>
      <c r="L6"/>
      <c r="M6"/>
      <c r="N6"/>
      <c r="O6"/>
      <c r="P6"/>
    </row>
    <row r="7" spans="1:17" ht="60" x14ac:dyDescent="0.25">
      <c r="A7" s="3" t="s">
        <v>5</v>
      </c>
      <c r="B7" s="2" t="s">
        <v>6</v>
      </c>
      <c r="C7" s="1"/>
      <c r="D7" s="1"/>
      <c r="E7" s="1"/>
      <c r="F7" s="1"/>
      <c r="G7" s="1"/>
      <c r="H7"/>
      <c r="I7"/>
      <c r="J7"/>
      <c r="K7"/>
      <c r="L7"/>
      <c r="M7"/>
      <c r="N7"/>
      <c r="O7"/>
      <c r="P7"/>
    </row>
    <row r="8" spans="1:17" x14ac:dyDescent="0.25">
      <c r="A8" s="3">
        <v>94</v>
      </c>
      <c r="B8" s="2" t="s">
        <v>31</v>
      </c>
      <c r="C8" s="1"/>
      <c r="D8" s="1"/>
      <c r="E8" s="1"/>
      <c r="F8" s="1"/>
      <c r="G8" s="1"/>
      <c r="H8"/>
      <c r="I8"/>
      <c r="J8"/>
      <c r="K8"/>
      <c r="L8"/>
      <c r="M8"/>
      <c r="N8"/>
      <c r="O8"/>
      <c r="P8"/>
    </row>
    <row r="9" spans="1:17" x14ac:dyDescent="0.25">
      <c r="A9" s="4" t="s">
        <v>5</v>
      </c>
      <c r="B9" s="2" t="s">
        <v>7</v>
      </c>
      <c r="C9" s="1"/>
      <c r="D9" s="1"/>
      <c r="E9" s="1"/>
      <c r="F9" s="1"/>
      <c r="G9" s="1"/>
      <c r="H9"/>
      <c r="I9"/>
      <c r="J9"/>
      <c r="K9"/>
      <c r="L9"/>
      <c r="M9"/>
      <c r="N9"/>
      <c r="O9"/>
      <c r="P9"/>
    </row>
    <row r="10" spans="1:17" x14ac:dyDescent="0.25">
      <c r="A10" s="4" t="s">
        <v>5</v>
      </c>
      <c r="B10" s="2" t="s">
        <v>8</v>
      </c>
      <c r="C10" s="1"/>
      <c r="D10" s="1"/>
      <c r="E10" s="1"/>
      <c r="F10" s="1"/>
      <c r="G10" s="1"/>
      <c r="H10"/>
      <c r="I10"/>
      <c r="J10"/>
      <c r="K10"/>
      <c r="L10"/>
      <c r="M10"/>
      <c r="N10"/>
      <c r="O10"/>
      <c r="P10"/>
    </row>
    <row r="11" spans="1:17" ht="30" x14ac:dyDescent="0.25">
      <c r="A11" s="4" t="s">
        <v>5</v>
      </c>
      <c r="B11" s="2" t="s">
        <v>9</v>
      </c>
      <c r="C11" s="1"/>
      <c r="D11" s="1"/>
      <c r="E11" s="1"/>
      <c r="F11" s="1"/>
      <c r="G11" s="1"/>
      <c r="H11"/>
      <c r="I11"/>
      <c r="J11"/>
      <c r="K11"/>
      <c r="L11"/>
      <c r="M11"/>
      <c r="N11"/>
      <c r="O11"/>
      <c r="P11"/>
    </row>
    <row r="12" spans="1:17" ht="30" x14ac:dyDescent="0.25">
      <c r="A12" s="4" t="s">
        <v>5</v>
      </c>
      <c r="B12" s="19" t="s">
        <v>40</v>
      </c>
      <c r="C12" s="20"/>
      <c r="D12" s="20"/>
      <c r="E12" s="20"/>
      <c r="F12" s="20"/>
      <c r="G12" s="20"/>
      <c r="H12"/>
      <c r="I12"/>
      <c r="J12"/>
      <c r="K12"/>
      <c r="L12"/>
      <c r="M12"/>
      <c r="N12"/>
      <c r="O12"/>
      <c r="P12"/>
    </row>
    <row r="13" spans="1:17" x14ac:dyDescent="0.25">
      <c r="A13" s="21">
        <v>53</v>
      </c>
      <c r="B13" s="2" t="s">
        <v>11</v>
      </c>
      <c r="C13" s="1"/>
      <c r="D13" s="1"/>
      <c r="E13" s="1"/>
      <c r="F13" s="1"/>
      <c r="G13" s="1"/>
      <c r="H13">
        <v>100</v>
      </c>
      <c r="I13"/>
      <c r="J13"/>
      <c r="K13"/>
      <c r="L13"/>
      <c r="M13"/>
      <c r="N13"/>
      <c r="O13"/>
      <c r="P13"/>
    </row>
    <row r="14" spans="1:17" x14ac:dyDescent="0.25">
      <c r="A14" s="21">
        <v>51</v>
      </c>
      <c r="B14" s="2" t="s">
        <v>12</v>
      </c>
      <c r="C14" s="1"/>
      <c r="D14" s="1"/>
      <c r="E14" s="1"/>
      <c r="F14" s="1"/>
      <c r="G14" s="1"/>
      <c r="H14">
        <v>100</v>
      </c>
      <c r="I14"/>
      <c r="J14"/>
      <c r="K14"/>
      <c r="L14"/>
      <c r="M14"/>
      <c r="N14"/>
      <c r="O14"/>
      <c r="P14"/>
    </row>
    <row r="15" spans="1:17" ht="30" x14ac:dyDescent="0.25">
      <c r="A15" s="21">
        <v>95</v>
      </c>
      <c r="B15" s="2" t="s">
        <v>13</v>
      </c>
      <c r="C15" s="1"/>
      <c r="D15" s="1"/>
      <c r="E15" s="1"/>
      <c r="F15" s="1"/>
      <c r="G15" s="1"/>
      <c r="H15"/>
      <c r="I15"/>
      <c r="J15"/>
      <c r="K15"/>
      <c r="L15"/>
      <c r="M15"/>
      <c r="N15"/>
      <c r="O15"/>
      <c r="P15"/>
    </row>
    <row r="16" spans="1:17" x14ac:dyDescent="0.25">
      <c r="A16" s="21">
        <v>311</v>
      </c>
      <c r="B16" s="2" t="s">
        <v>14</v>
      </c>
      <c r="C16" s="1"/>
      <c r="D16" s="1"/>
      <c r="E16" s="1"/>
      <c r="F16" s="1"/>
      <c r="G16" s="1"/>
      <c r="H16"/>
      <c r="I16"/>
      <c r="J16"/>
      <c r="K16"/>
      <c r="L16"/>
      <c r="M16"/>
      <c r="N16"/>
      <c r="O16"/>
      <c r="P16"/>
    </row>
    <row r="17" spans="1:16" x14ac:dyDescent="0.25">
      <c r="A17" s="21">
        <v>309</v>
      </c>
      <c r="B17" s="2" t="s">
        <v>15</v>
      </c>
      <c r="C17" s="1"/>
      <c r="D17" s="1"/>
      <c r="E17" s="1"/>
      <c r="F17" s="1"/>
      <c r="G17" s="1"/>
      <c r="H17"/>
      <c r="I17"/>
      <c r="J17"/>
      <c r="K17"/>
      <c r="L17"/>
      <c r="M17"/>
      <c r="N17"/>
      <c r="O17"/>
      <c r="P17"/>
    </row>
    <row r="18" spans="1:16" x14ac:dyDescent="0.25">
      <c r="A18" s="21">
        <v>312</v>
      </c>
      <c r="B18" s="2" t="s">
        <v>16</v>
      </c>
      <c r="C18" s="1"/>
      <c r="D18" s="1"/>
      <c r="E18" s="1"/>
      <c r="F18" s="1"/>
      <c r="G18" s="1"/>
      <c r="H18"/>
      <c r="I18"/>
      <c r="J18"/>
      <c r="K18"/>
      <c r="L18"/>
      <c r="M18"/>
      <c r="N18"/>
      <c r="O18"/>
      <c r="P18"/>
    </row>
    <row r="19" spans="1:16" x14ac:dyDescent="0.25">
      <c r="A19" s="21">
        <v>310</v>
      </c>
      <c r="B19" s="2" t="s">
        <v>17</v>
      </c>
      <c r="C19" s="1"/>
      <c r="D19" s="1"/>
      <c r="E19" s="1"/>
      <c r="F19" s="1"/>
      <c r="G19" s="1"/>
      <c r="H19"/>
      <c r="I19"/>
      <c r="J19"/>
      <c r="K19"/>
      <c r="L19"/>
      <c r="M19"/>
      <c r="N19"/>
      <c r="O19"/>
      <c r="P19"/>
    </row>
    <row r="20" spans="1:16" ht="30" x14ac:dyDescent="0.25">
      <c r="A20" s="21" t="s">
        <v>5</v>
      </c>
      <c r="B20" s="18" t="s">
        <v>36</v>
      </c>
      <c r="C20" s="1"/>
      <c r="D20" s="1"/>
      <c r="E20" s="1"/>
      <c r="F20" s="1"/>
      <c r="G20" s="1"/>
      <c r="H20"/>
      <c r="I20"/>
      <c r="J20"/>
      <c r="K20"/>
      <c r="L20"/>
      <c r="M20"/>
      <c r="N20"/>
      <c r="O20"/>
      <c r="P20"/>
    </row>
    <row r="21" spans="1:16" x14ac:dyDescent="0.25">
      <c r="A21" s="21" t="s">
        <v>5</v>
      </c>
      <c r="B21" s="18" t="s">
        <v>37</v>
      </c>
      <c r="C21" s="1"/>
      <c r="D21" s="1"/>
      <c r="E21" s="1"/>
      <c r="F21" s="1"/>
      <c r="G21" s="1"/>
      <c r="H21"/>
      <c r="I21"/>
      <c r="J21"/>
      <c r="K21"/>
      <c r="L21"/>
      <c r="M21"/>
      <c r="N21"/>
      <c r="O21"/>
      <c r="P21"/>
    </row>
    <row r="22" spans="1:16" x14ac:dyDescent="0.25">
      <c r="A22" s="21" t="s">
        <v>5</v>
      </c>
      <c r="B22" s="18" t="s">
        <v>38</v>
      </c>
      <c r="C22" s="1"/>
      <c r="D22" s="1"/>
      <c r="E22" s="1"/>
      <c r="F22" s="1"/>
      <c r="G22" s="1"/>
      <c r="H22"/>
      <c r="I22"/>
      <c r="J22"/>
      <c r="K22"/>
      <c r="L22"/>
      <c r="M22"/>
      <c r="N22"/>
      <c r="O22"/>
      <c r="P22"/>
    </row>
    <row r="23" spans="1:16" x14ac:dyDescent="0.25">
      <c r="A23" s="21" t="s">
        <v>5</v>
      </c>
      <c r="B23" s="18" t="s">
        <v>39</v>
      </c>
      <c r="C23" s="1"/>
      <c r="D23" s="1"/>
      <c r="E23" s="1"/>
      <c r="F23" s="1"/>
      <c r="G23" s="1"/>
      <c r="H23"/>
      <c r="I23"/>
      <c r="J23"/>
      <c r="K23"/>
      <c r="L23"/>
      <c r="M23"/>
      <c r="N23"/>
      <c r="O23"/>
      <c r="P23"/>
    </row>
    <row r="24" spans="1:16" s="32" customFormat="1" x14ac:dyDescent="0.25">
      <c r="A24" s="25"/>
      <c r="B24" s="10"/>
      <c r="C24" s="9"/>
      <c r="D24" s="9"/>
      <c r="E24" s="9">
        <v>1111111111</v>
      </c>
      <c r="F24" s="9"/>
      <c r="G24" s="9"/>
      <c r="H24" s="9"/>
      <c r="I24" s="9"/>
      <c r="J24" s="9"/>
      <c r="K24" s="9"/>
      <c r="L24" s="9"/>
      <c r="M24" s="9"/>
      <c r="N24" s="9"/>
      <c r="O24" s="9"/>
      <c r="P24" s="9"/>
    </row>
    <row r="25" spans="1:16" x14ac:dyDescent="0.25">
      <c r="A25" s="23" t="s">
        <v>4</v>
      </c>
      <c r="B25" s="28" t="s">
        <v>33</v>
      </c>
      <c r="C25" s="29" t="s">
        <v>101</v>
      </c>
      <c r="D25" s="29" t="s">
        <v>102</v>
      </c>
      <c r="E25" s="29" t="s">
        <v>103</v>
      </c>
      <c r="F25" s="29" t="s">
        <v>104</v>
      </c>
      <c r="G25" s="29" t="s">
        <v>105</v>
      </c>
      <c r="H25"/>
      <c r="I25"/>
      <c r="J25"/>
      <c r="K25"/>
      <c r="L25"/>
      <c r="M25"/>
      <c r="N25"/>
      <c r="O25"/>
      <c r="P25"/>
    </row>
    <row r="26" spans="1:16" x14ac:dyDescent="0.25">
      <c r="A26" s="23"/>
      <c r="B26" s="8" t="s">
        <v>18</v>
      </c>
      <c r="C26" s="15"/>
      <c r="D26" s="15"/>
      <c r="E26" s="15"/>
      <c r="F26" s="15"/>
      <c r="G26" s="15"/>
      <c r="H26"/>
      <c r="I26"/>
      <c r="J26"/>
      <c r="K26"/>
      <c r="L26"/>
      <c r="M26"/>
      <c r="N26"/>
      <c r="O26"/>
      <c r="P26"/>
    </row>
    <row r="27" spans="1:16" x14ac:dyDescent="0.25">
      <c r="A27" s="3">
        <v>47</v>
      </c>
      <c r="B27" s="2" t="s">
        <v>1</v>
      </c>
      <c r="C27" s="1"/>
      <c r="D27" s="1"/>
      <c r="E27" s="1"/>
      <c r="F27" s="1"/>
      <c r="G27" s="1"/>
      <c r="H27"/>
      <c r="I27"/>
      <c r="J27"/>
      <c r="K27"/>
      <c r="L27"/>
      <c r="M27"/>
      <c r="N27"/>
      <c r="O27"/>
      <c r="P27"/>
    </row>
    <row r="28" spans="1:16" x14ac:dyDescent="0.25">
      <c r="A28" s="3">
        <v>49</v>
      </c>
      <c r="B28" s="2" t="s">
        <v>2</v>
      </c>
      <c r="C28" s="1"/>
      <c r="D28" s="1"/>
      <c r="E28" s="1"/>
      <c r="F28" s="1"/>
      <c r="G28" s="1"/>
      <c r="H28"/>
      <c r="I28"/>
      <c r="J28"/>
      <c r="K28"/>
      <c r="L28"/>
      <c r="M28"/>
      <c r="N28"/>
      <c r="O28"/>
      <c r="P28"/>
    </row>
    <row r="29" spans="1:16" ht="30" x14ac:dyDescent="0.25">
      <c r="A29" s="3">
        <v>342</v>
      </c>
      <c r="B29" s="2" t="s">
        <v>3</v>
      </c>
      <c r="C29" s="1"/>
      <c r="D29" s="1"/>
      <c r="E29" s="1"/>
      <c r="F29" s="1"/>
      <c r="G29" s="1"/>
      <c r="H29"/>
      <c r="I29"/>
      <c r="J29"/>
      <c r="K29"/>
      <c r="L29"/>
      <c r="M29"/>
      <c r="N29"/>
      <c r="O29"/>
      <c r="P29"/>
    </row>
    <row r="30" spans="1:16" x14ac:dyDescent="0.25">
      <c r="A30" s="3">
        <v>1118</v>
      </c>
      <c r="B30" s="2" t="s">
        <v>0</v>
      </c>
      <c r="C30" s="1"/>
      <c r="D30" s="1"/>
      <c r="E30" s="1"/>
      <c r="F30" s="1"/>
      <c r="G30" s="1"/>
      <c r="H30"/>
      <c r="I30"/>
      <c r="J30"/>
      <c r="K30"/>
      <c r="L30"/>
      <c r="M30"/>
      <c r="N30"/>
      <c r="O30"/>
      <c r="P30"/>
    </row>
    <row r="31" spans="1:16" ht="60" x14ac:dyDescent="0.25">
      <c r="A31" s="3" t="s">
        <v>5</v>
      </c>
      <c r="B31" s="2" t="s">
        <v>6</v>
      </c>
      <c r="C31" s="1"/>
      <c r="D31" s="1"/>
      <c r="E31" s="1"/>
      <c r="F31" s="1"/>
      <c r="G31" s="1"/>
      <c r="H31"/>
      <c r="I31"/>
      <c r="J31"/>
      <c r="K31"/>
      <c r="L31"/>
      <c r="M31"/>
      <c r="N31"/>
      <c r="O31"/>
      <c r="P31"/>
    </row>
    <row r="32" spans="1:16" x14ac:dyDescent="0.25">
      <c r="A32" s="3">
        <v>94</v>
      </c>
      <c r="B32" s="2" t="s">
        <v>31</v>
      </c>
      <c r="C32" s="1"/>
      <c r="D32" s="1"/>
      <c r="E32" s="1"/>
      <c r="F32" s="1"/>
      <c r="G32" s="1"/>
      <c r="H32"/>
      <c r="I32"/>
      <c r="J32"/>
      <c r="K32"/>
      <c r="L32"/>
      <c r="M32"/>
      <c r="N32"/>
      <c r="O32"/>
      <c r="P32"/>
    </row>
    <row r="33" spans="1:16" x14ac:dyDescent="0.25">
      <c r="A33" s="4" t="s">
        <v>5</v>
      </c>
      <c r="B33" s="2" t="s">
        <v>7</v>
      </c>
      <c r="C33" s="1"/>
      <c r="D33" s="1"/>
      <c r="E33" s="1"/>
      <c r="F33" s="1"/>
      <c r="G33" s="1"/>
      <c r="H33"/>
      <c r="I33"/>
      <c r="J33"/>
      <c r="K33"/>
      <c r="L33"/>
      <c r="M33"/>
      <c r="N33"/>
      <c r="O33"/>
      <c r="P33"/>
    </row>
    <row r="34" spans="1:16" x14ac:dyDescent="0.25">
      <c r="A34" s="4" t="s">
        <v>5</v>
      </c>
      <c r="B34" s="2" t="s">
        <v>8</v>
      </c>
      <c r="C34" s="1"/>
      <c r="D34" s="1"/>
      <c r="E34" s="1"/>
      <c r="F34" s="1"/>
      <c r="G34" s="1"/>
      <c r="H34"/>
      <c r="I34"/>
      <c r="J34"/>
      <c r="K34"/>
      <c r="L34"/>
      <c r="M34"/>
      <c r="N34"/>
      <c r="O34"/>
      <c r="P34"/>
    </row>
    <row r="35" spans="1:16" ht="30" x14ac:dyDescent="0.25">
      <c r="A35" s="4" t="s">
        <v>5</v>
      </c>
      <c r="B35" s="2" t="s">
        <v>9</v>
      </c>
      <c r="C35" s="1"/>
      <c r="D35" s="1"/>
      <c r="E35" s="1"/>
      <c r="F35" s="1"/>
      <c r="G35" s="1"/>
      <c r="H35"/>
      <c r="I35"/>
      <c r="J35"/>
      <c r="K35"/>
      <c r="L35"/>
      <c r="M35"/>
      <c r="N35"/>
      <c r="O35"/>
      <c r="P35"/>
    </row>
    <row r="36" spans="1:16" ht="30" x14ac:dyDescent="0.25">
      <c r="A36" s="4" t="s">
        <v>5</v>
      </c>
      <c r="B36" s="19" t="s">
        <v>40</v>
      </c>
      <c r="C36" s="20"/>
      <c r="D36" s="20"/>
      <c r="E36" s="20"/>
      <c r="F36" s="20"/>
      <c r="G36" s="20"/>
      <c r="H36"/>
      <c r="I36"/>
      <c r="J36"/>
      <c r="K36"/>
      <c r="L36"/>
      <c r="M36"/>
      <c r="N36"/>
      <c r="O36"/>
      <c r="P36"/>
    </row>
    <row r="37" spans="1:16" x14ac:dyDescent="0.25">
      <c r="A37" s="21">
        <v>53</v>
      </c>
      <c r="B37" s="2" t="s">
        <v>11</v>
      </c>
      <c r="C37" s="1"/>
      <c r="D37" s="1"/>
      <c r="E37" s="1"/>
      <c r="F37" s="1"/>
      <c r="G37" s="1"/>
      <c r="H37"/>
      <c r="I37"/>
      <c r="J37"/>
      <c r="K37"/>
      <c r="L37"/>
      <c r="M37"/>
      <c r="N37"/>
      <c r="O37"/>
      <c r="P37"/>
    </row>
    <row r="38" spans="1:16" x14ac:dyDescent="0.25">
      <c r="A38" s="21">
        <v>51</v>
      </c>
      <c r="B38" s="2" t="s">
        <v>12</v>
      </c>
      <c r="C38" s="1"/>
      <c r="D38" s="1"/>
      <c r="E38" s="1"/>
      <c r="F38" s="1"/>
      <c r="G38" s="1"/>
      <c r="H38"/>
      <c r="I38"/>
      <c r="J38"/>
      <c r="K38"/>
      <c r="L38"/>
      <c r="M38"/>
      <c r="N38"/>
      <c r="O38"/>
      <c r="P38"/>
    </row>
    <row r="39" spans="1:16" ht="30" x14ac:dyDescent="0.25">
      <c r="A39" s="21">
        <v>95</v>
      </c>
      <c r="B39" s="2" t="s">
        <v>13</v>
      </c>
      <c r="C39" s="1"/>
      <c r="D39" s="1"/>
      <c r="E39" s="1"/>
      <c r="F39" s="1"/>
      <c r="G39" s="1"/>
      <c r="H39"/>
      <c r="I39"/>
      <c r="J39"/>
      <c r="K39"/>
      <c r="L39"/>
      <c r="M39"/>
      <c r="N39"/>
      <c r="O39"/>
      <c r="P39"/>
    </row>
    <row r="40" spans="1:16" x14ac:dyDescent="0.25">
      <c r="A40" s="21">
        <v>311</v>
      </c>
      <c r="B40" s="2" t="s">
        <v>14</v>
      </c>
      <c r="C40" s="1"/>
      <c r="D40" s="1"/>
      <c r="E40" s="1"/>
      <c r="F40" s="1"/>
      <c r="G40" s="1"/>
      <c r="H40"/>
      <c r="I40"/>
      <c r="J40"/>
      <c r="K40"/>
      <c r="L40"/>
      <c r="M40"/>
      <c r="N40"/>
      <c r="O40"/>
      <c r="P40"/>
    </row>
    <row r="41" spans="1:16" x14ac:dyDescent="0.25">
      <c r="A41" s="21">
        <v>309</v>
      </c>
      <c r="B41" s="2" t="s">
        <v>15</v>
      </c>
      <c r="C41" s="1"/>
      <c r="D41" s="1"/>
      <c r="E41" s="1"/>
      <c r="F41" s="1"/>
      <c r="G41" s="1"/>
      <c r="H41"/>
      <c r="I41"/>
      <c r="J41"/>
      <c r="K41"/>
      <c r="L41"/>
      <c r="M41"/>
      <c r="N41"/>
      <c r="O41"/>
      <c r="P41"/>
    </row>
    <row r="42" spans="1:16" x14ac:dyDescent="0.25">
      <c r="A42" s="21">
        <v>312</v>
      </c>
      <c r="B42" s="2" t="s">
        <v>16</v>
      </c>
      <c r="C42" s="1"/>
      <c r="D42" s="1"/>
      <c r="E42" s="1"/>
      <c r="F42" s="1"/>
      <c r="G42" s="1"/>
      <c r="H42"/>
      <c r="I42"/>
      <c r="J42"/>
      <c r="K42"/>
      <c r="L42"/>
      <c r="M42"/>
      <c r="N42"/>
      <c r="O42"/>
      <c r="P42"/>
    </row>
    <row r="43" spans="1:16" x14ac:dyDescent="0.25">
      <c r="A43" s="21">
        <v>310</v>
      </c>
      <c r="B43" s="2" t="s">
        <v>17</v>
      </c>
      <c r="C43" s="1"/>
      <c r="D43" s="1"/>
      <c r="E43" s="1"/>
      <c r="F43" s="1"/>
      <c r="G43" s="1"/>
      <c r="H43"/>
      <c r="I43"/>
      <c r="J43"/>
      <c r="K43"/>
      <c r="L43"/>
      <c r="M43"/>
      <c r="N43"/>
      <c r="O43"/>
      <c r="P43"/>
    </row>
    <row r="44" spans="1:16" ht="30" x14ac:dyDescent="0.25">
      <c r="A44" s="21" t="s">
        <v>5</v>
      </c>
      <c r="B44" s="18" t="s">
        <v>36</v>
      </c>
      <c r="C44" s="1"/>
      <c r="D44" s="1"/>
      <c r="E44" s="1"/>
      <c r="F44" s="1"/>
      <c r="G44" s="1"/>
      <c r="H44"/>
      <c r="I44"/>
      <c r="J44"/>
      <c r="K44"/>
      <c r="L44"/>
      <c r="M44"/>
      <c r="N44"/>
      <c r="O44"/>
      <c r="P44"/>
    </row>
    <row r="45" spans="1:16" x14ac:dyDescent="0.25">
      <c r="A45" s="21" t="s">
        <v>5</v>
      </c>
      <c r="B45" s="18" t="s">
        <v>37</v>
      </c>
      <c r="C45" s="1"/>
      <c r="D45" s="1"/>
      <c r="E45" s="1"/>
      <c r="F45" s="1"/>
      <c r="G45" s="1"/>
      <c r="H45"/>
      <c r="I45"/>
      <c r="J45"/>
      <c r="K45"/>
      <c r="L45"/>
      <c r="M45"/>
      <c r="N45"/>
      <c r="O45"/>
      <c r="P45"/>
    </row>
    <row r="46" spans="1:16" x14ac:dyDescent="0.25">
      <c r="A46" s="21" t="s">
        <v>5</v>
      </c>
      <c r="B46" s="18" t="s">
        <v>38</v>
      </c>
      <c r="C46" s="1"/>
      <c r="D46" s="1"/>
      <c r="E46" s="1"/>
      <c r="F46" s="1"/>
      <c r="G46" s="1"/>
      <c r="H46"/>
      <c r="I46"/>
      <c r="J46"/>
      <c r="K46"/>
      <c r="L46"/>
      <c r="M46"/>
      <c r="N46"/>
      <c r="O46"/>
      <c r="P46"/>
    </row>
    <row r="47" spans="1:16" x14ac:dyDescent="0.25">
      <c r="A47" s="21" t="s">
        <v>5</v>
      </c>
      <c r="B47" s="18" t="s">
        <v>39</v>
      </c>
      <c r="C47" s="1"/>
      <c r="D47" s="1"/>
      <c r="E47" s="1"/>
      <c r="F47" s="1"/>
      <c r="G47" s="1"/>
      <c r="H47"/>
      <c r="I47"/>
      <c r="J47"/>
      <c r="K47"/>
      <c r="L47"/>
      <c r="M47"/>
      <c r="N47"/>
      <c r="O47"/>
      <c r="P47"/>
    </row>
    <row r="48" spans="1:16" s="32" customFormat="1" x14ac:dyDescent="0.25">
      <c r="A48" s="25"/>
      <c r="B48" s="10"/>
      <c r="C48" s="9"/>
      <c r="D48" s="9"/>
      <c r="E48" s="9"/>
      <c r="F48" s="9"/>
      <c r="G48" s="9"/>
      <c r="H48" s="9"/>
      <c r="I48" s="9"/>
      <c r="J48" s="9"/>
      <c r="K48" s="9"/>
      <c r="L48" s="9"/>
      <c r="M48" s="9"/>
      <c r="N48" s="9"/>
      <c r="O48" s="9"/>
      <c r="P48" s="9"/>
    </row>
    <row r="49" spans="1:16" x14ac:dyDescent="0.25">
      <c r="A49" s="23" t="s">
        <v>4</v>
      </c>
      <c r="B49" s="7" t="s">
        <v>35</v>
      </c>
      <c r="C49" s="29"/>
      <c r="D49" s="29"/>
      <c r="E49" s="29"/>
      <c r="F49" s="29"/>
      <c r="G49" s="29"/>
      <c r="H49"/>
      <c r="I49"/>
      <c r="J49"/>
      <c r="K49"/>
      <c r="L49"/>
      <c r="M49"/>
      <c r="N49"/>
      <c r="O49"/>
      <c r="P49"/>
    </row>
    <row r="50" spans="1:16" x14ac:dyDescent="0.25">
      <c r="A50" s="23"/>
      <c r="B50" s="8" t="s">
        <v>18</v>
      </c>
      <c r="C50" s="27"/>
      <c r="D50" s="15"/>
      <c r="E50" s="15"/>
      <c r="F50" s="15"/>
      <c r="G50" s="15"/>
      <c r="H50"/>
      <c r="I50"/>
      <c r="J50"/>
      <c r="K50"/>
      <c r="L50"/>
      <c r="M50"/>
      <c r="N50"/>
      <c r="O50"/>
      <c r="P50"/>
    </row>
    <row r="51" spans="1:16" x14ac:dyDescent="0.25">
      <c r="A51" s="3">
        <v>47</v>
      </c>
      <c r="B51" s="2" t="s">
        <v>1</v>
      </c>
      <c r="C51" s="1"/>
      <c r="D51" s="1"/>
      <c r="E51" s="1"/>
      <c r="F51" s="1"/>
      <c r="G51" s="1"/>
      <c r="H51"/>
      <c r="I51"/>
      <c r="J51"/>
      <c r="K51"/>
      <c r="L51"/>
      <c r="M51"/>
      <c r="N51"/>
      <c r="O51"/>
      <c r="P51"/>
    </row>
    <row r="52" spans="1:16" x14ac:dyDescent="0.25">
      <c r="A52" s="3">
        <v>49</v>
      </c>
      <c r="B52" s="2" t="s">
        <v>2</v>
      </c>
      <c r="C52" s="1"/>
      <c r="D52" s="1"/>
      <c r="E52" s="1"/>
      <c r="F52" s="1"/>
      <c r="G52" s="1"/>
      <c r="H52"/>
      <c r="I52"/>
      <c r="J52"/>
      <c r="K52"/>
      <c r="L52"/>
      <c r="M52"/>
      <c r="N52"/>
      <c r="O52"/>
      <c r="P52"/>
    </row>
    <row r="53" spans="1:16" ht="30" x14ac:dyDescent="0.25">
      <c r="A53" s="3">
        <v>342</v>
      </c>
      <c r="B53" s="2" t="s">
        <v>3</v>
      </c>
      <c r="C53" s="1"/>
      <c r="D53" s="1"/>
      <c r="E53" s="1"/>
      <c r="F53" s="1"/>
      <c r="G53" s="1"/>
      <c r="H53"/>
      <c r="I53"/>
      <c r="J53"/>
      <c r="K53"/>
      <c r="L53"/>
      <c r="M53"/>
      <c r="N53"/>
      <c r="O53"/>
      <c r="P53"/>
    </row>
    <row r="54" spans="1:16" x14ac:dyDescent="0.25">
      <c r="A54" s="3">
        <v>1118</v>
      </c>
      <c r="B54" s="2" t="s">
        <v>0</v>
      </c>
      <c r="C54" s="1"/>
      <c r="D54" s="1"/>
      <c r="E54" s="1"/>
      <c r="F54" s="1"/>
      <c r="G54" s="1"/>
      <c r="H54"/>
      <c r="I54"/>
      <c r="J54"/>
      <c r="K54"/>
      <c r="L54"/>
      <c r="M54"/>
      <c r="N54"/>
      <c r="O54"/>
      <c r="P54"/>
    </row>
    <row r="55" spans="1:16" ht="60" x14ac:dyDescent="0.25">
      <c r="A55" s="3" t="s">
        <v>5</v>
      </c>
      <c r="B55" s="2" t="s">
        <v>6</v>
      </c>
      <c r="C55" s="1"/>
      <c r="D55" s="1"/>
      <c r="E55" s="1"/>
      <c r="F55" s="1"/>
      <c r="G55" s="1"/>
      <c r="H55"/>
      <c r="I55"/>
      <c r="J55"/>
      <c r="K55"/>
      <c r="L55"/>
      <c r="M55"/>
      <c r="N55"/>
      <c r="O55"/>
      <c r="P55"/>
    </row>
    <row r="56" spans="1:16" x14ac:dyDescent="0.25">
      <c r="A56" s="3">
        <v>94</v>
      </c>
      <c r="B56" s="2" t="s">
        <v>31</v>
      </c>
      <c r="C56" s="1"/>
      <c r="D56" s="1"/>
      <c r="E56" s="1"/>
      <c r="F56" s="1"/>
      <c r="G56" s="1"/>
      <c r="H56"/>
      <c r="I56"/>
      <c r="J56"/>
      <c r="K56"/>
      <c r="L56"/>
      <c r="M56"/>
      <c r="N56"/>
      <c r="O56"/>
      <c r="P56"/>
    </row>
    <row r="57" spans="1:16" x14ac:dyDescent="0.25">
      <c r="A57" s="4" t="s">
        <v>5</v>
      </c>
      <c r="B57" s="2" t="s">
        <v>7</v>
      </c>
      <c r="C57" s="1"/>
      <c r="D57" s="1"/>
      <c r="E57" s="1"/>
      <c r="F57" s="1"/>
      <c r="G57" s="1"/>
      <c r="H57"/>
      <c r="I57"/>
      <c r="J57"/>
      <c r="K57"/>
      <c r="L57"/>
      <c r="M57"/>
      <c r="N57"/>
      <c r="O57"/>
      <c r="P57"/>
    </row>
    <row r="58" spans="1:16" x14ac:dyDescent="0.25">
      <c r="A58" s="4" t="s">
        <v>5</v>
      </c>
      <c r="B58" s="2" t="s">
        <v>8</v>
      </c>
      <c r="C58" s="1"/>
      <c r="D58" s="1"/>
      <c r="E58" s="1"/>
      <c r="F58" s="1"/>
      <c r="G58" s="1"/>
      <c r="H58"/>
      <c r="I58"/>
      <c r="J58"/>
      <c r="K58"/>
      <c r="L58"/>
      <c r="M58"/>
      <c r="N58"/>
      <c r="O58"/>
      <c r="P58"/>
    </row>
    <row r="59" spans="1:16" ht="30" x14ac:dyDescent="0.25">
      <c r="A59" s="4" t="s">
        <v>5</v>
      </c>
      <c r="B59" s="2" t="s">
        <v>9</v>
      </c>
      <c r="C59" s="1"/>
      <c r="D59" s="1"/>
      <c r="E59" s="1"/>
      <c r="F59" s="1"/>
      <c r="G59" s="1"/>
      <c r="H59"/>
      <c r="I59"/>
      <c r="J59"/>
      <c r="K59"/>
      <c r="L59"/>
      <c r="M59"/>
      <c r="N59"/>
      <c r="O59"/>
      <c r="P59"/>
    </row>
    <row r="60" spans="1:16" ht="30" x14ac:dyDescent="0.25">
      <c r="A60" s="4" t="s">
        <v>5</v>
      </c>
      <c r="B60" s="19" t="s">
        <v>40</v>
      </c>
      <c r="C60" s="20"/>
      <c r="D60" s="20"/>
      <c r="E60" s="20"/>
      <c r="F60" s="20"/>
      <c r="G60" s="20"/>
      <c r="H60"/>
      <c r="I60"/>
      <c r="J60"/>
      <c r="K60"/>
      <c r="L60"/>
      <c r="M60"/>
      <c r="N60"/>
      <c r="O60"/>
      <c r="P60"/>
    </row>
    <row r="61" spans="1:16" x14ac:dyDescent="0.25">
      <c r="A61" s="21">
        <v>53</v>
      </c>
      <c r="B61" s="2" t="s">
        <v>11</v>
      </c>
      <c r="C61" s="1"/>
      <c r="D61" s="1"/>
      <c r="E61" s="1"/>
      <c r="F61" s="1"/>
      <c r="G61" s="1"/>
      <c r="H61"/>
      <c r="I61"/>
      <c r="J61"/>
      <c r="K61"/>
      <c r="L61"/>
      <c r="M61"/>
      <c r="N61"/>
      <c r="O61"/>
      <c r="P61"/>
    </row>
    <row r="62" spans="1:16" x14ac:dyDescent="0.25">
      <c r="A62" s="21">
        <v>51</v>
      </c>
      <c r="B62" s="2" t="s">
        <v>12</v>
      </c>
      <c r="C62" s="1"/>
      <c r="D62" s="1"/>
      <c r="E62" s="1"/>
      <c r="F62" s="1"/>
      <c r="G62" s="1"/>
      <c r="H62"/>
      <c r="I62"/>
      <c r="J62"/>
      <c r="K62"/>
      <c r="L62"/>
      <c r="M62"/>
      <c r="N62"/>
      <c r="O62"/>
      <c r="P62"/>
    </row>
    <row r="63" spans="1:16" ht="30" x14ac:dyDescent="0.25">
      <c r="A63" s="21">
        <v>95</v>
      </c>
      <c r="B63" s="2" t="s">
        <v>13</v>
      </c>
      <c r="C63" s="1"/>
      <c r="D63" s="1"/>
      <c r="E63" s="1"/>
      <c r="F63" s="1"/>
      <c r="G63" s="1"/>
      <c r="H63"/>
      <c r="I63"/>
      <c r="J63"/>
      <c r="K63"/>
      <c r="L63"/>
      <c r="M63"/>
      <c r="N63"/>
      <c r="O63"/>
      <c r="P63"/>
    </row>
    <row r="64" spans="1:16" x14ac:dyDescent="0.25">
      <c r="A64" s="21">
        <v>311</v>
      </c>
      <c r="B64" s="2" t="s">
        <v>14</v>
      </c>
      <c r="C64" s="1"/>
      <c r="D64" s="1"/>
      <c r="E64" s="1"/>
      <c r="F64" s="1"/>
      <c r="G64" s="1"/>
      <c r="H64"/>
      <c r="I64"/>
      <c r="J64"/>
      <c r="K64"/>
      <c r="L64"/>
      <c r="M64"/>
      <c r="N64"/>
      <c r="O64"/>
      <c r="P64"/>
    </row>
    <row r="65" spans="1:16" x14ac:dyDescent="0.25">
      <c r="A65" s="21">
        <v>309</v>
      </c>
      <c r="B65" s="2" t="s">
        <v>15</v>
      </c>
      <c r="C65" s="1"/>
      <c r="D65" s="1"/>
      <c r="E65" s="1"/>
      <c r="F65" s="1"/>
      <c r="G65" s="1"/>
      <c r="H65"/>
      <c r="I65"/>
      <c r="J65"/>
      <c r="K65"/>
      <c r="L65"/>
      <c r="M65"/>
      <c r="N65"/>
      <c r="O65"/>
      <c r="P65"/>
    </row>
    <row r="66" spans="1:16" x14ac:dyDescent="0.25">
      <c r="A66" s="21">
        <v>312</v>
      </c>
      <c r="B66" s="2" t="s">
        <v>16</v>
      </c>
      <c r="C66" s="1"/>
      <c r="D66" s="1"/>
      <c r="E66" s="1"/>
      <c r="F66" s="1"/>
      <c r="G66" s="1"/>
      <c r="H66"/>
      <c r="I66"/>
      <c r="J66"/>
      <c r="K66"/>
      <c r="L66"/>
      <c r="M66"/>
      <c r="N66"/>
      <c r="O66"/>
      <c r="P66"/>
    </row>
    <row r="67" spans="1:16" x14ac:dyDescent="0.25">
      <c r="A67" s="21">
        <v>310</v>
      </c>
      <c r="B67" s="2" t="s">
        <v>17</v>
      </c>
      <c r="C67" s="1"/>
      <c r="D67" s="1"/>
      <c r="E67" s="1"/>
      <c r="F67" s="1"/>
      <c r="G67" s="1"/>
      <c r="H67"/>
      <c r="I67"/>
      <c r="J67"/>
      <c r="K67"/>
      <c r="L67"/>
      <c r="M67"/>
      <c r="N67"/>
      <c r="O67"/>
      <c r="P67"/>
    </row>
    <row r="68" spans="1:16" ht="30" x14ac:dyDescent="0.25">
      <c r="A68" s="21" t="s">
        <v>5</v>
      </c>
      <c r="B68" s="18" t="s">
        <v>36</v>
      </c>
      <c r="C68" s="1"/>
      <c r="D68" s="1"/>
      <c r="E68" s="1"/>
      <c r="F68" s="1"/>
      <c r="G68" s="1"/>
      <c r="H68"/>
      <c r="I68"/>
      <c r="J68"/>
      <c r="K68"/>
      <c r="L68"/>
      <c r="M68"/>
      <c r="N68"/>
      <c r="O68"/>
      <c r="P68"/>
    </row>
    <row r="69" spans="1:16" x14ac:dyDescent="0.25">
      <c r="A69" s="21" t="s">
        <v>5</v>
      </c>
      <c r="B69" s="18" t="s">
        <v>37</v>
      </c>
      <c r="C69" s="1"/>
      <c r="D69" s="1"/>
      <c r="E69" s="1"/>
      <c r="F69" s="1"/>
      <c r="G69" s="1"/>
      <c r="H69"/>
      <c r="I69"/>
      <c r="J69"/>
      <c r="K69"/>
      <c r="L69"/>
      <c r="M69"/>
      <c r="N69"/>
      <c r="O69"/>
      <c r="P69"/>
    </row>
    <row r="70" spans="1:16" x14ac:dyDescent="0.25">
      <c r="A70" s="21" t="s">
        <v>5</v>
      </c>
      <c r="B70" s="18" t="s">
        <v>38</v>
      </c>
      <c r="C70" s="1"/>
      <c r="D70" s="1"/>
      <c r="E70" s="1"/>
      <c r="F70" s="1"/>
      <c r="G70" s="1"/>
      <c r="H70"/>
      <c r="I70"/>
      <c r="J70"/>
      <c r="K70"/>
      <c r="L70"/>
      <c r="M70"/>
      <c r="N70"/>
      <c r="O70"/>
      <c r="P70"/>
    </row>
    <row r="71" spans="1:16" x14ac:dyDescent="0.25">
      <c r="A71" s="21" t="s">
        <v>5</v>
      </c>
      <c r="B71" s="18" t="s">
        <v>39</v>
      </c>
      <c r="C71" s="30"/>
      <c r="D71" s="30"/>
      <c r="E71" s="30"/>
      <c r="F71" s="30"/>
      <c r="G71" s="30"/>
      <c r="H71"/>
      <c r="I71"/>
      <c r="J71"/>
      <c r="K71"/>
      <c r="L71"/>
      <c r="M71"/>
      <c r="N71"/>
      <c r="O71"/>
      <c r="P71"/>
    </row>
  </sheetData>
  <conditionalFormatting sqref="C1:G1">
    <cfRule type="cellIs" dxfId="36" priority="25" operator="equal">
      <formula>0</formula>
    </cfRule>
  </conditionalFormatting>
  <conditionalFormatting sqref="C2:G2">
    <cfRule type="cellIs" dxfId="35" priority="24" operator="equal">
      <formula>0</formula>
    </cfRule>
  </conditionalFormatting>
  <conditionalFormatting sqref="C26:G26">
    <cfRule type="cellIs" dxfId="34" priority="22" operator="equal">
      <formula>0</formula>
    </cfRule>
  </conditionalFormatting>
  <conditionalFormatting sqref="C50:G50">
    <cfRule type="cellIs" dxfId="33" priority="19" operator="equal">
      <formula>0</formula>
    </cfRule>
  </conditionalFormatting>
  <conditionalFormatting sqref="B1 B25 B49">
    <cfRule type="cellIs" dxfId="32" priority="12" operator="equal">
      <formula>0</formula>
    </cfRule>
  </conditionalFormatting>
  <conditionalFormatting sqref="C25:G25">
    <cfRule type="cellIs" dxfId="31" priority="2" operator="equal">
      <formula>0</formula>
    </cfRule>
  </conditionalFormatting>
  <conditionalFormatting sqref="C49:G49">
    <cfRule type="cellIs" dxfId="30" priority="1" operator="equal">
      <formula>0</formula>
    </cfRule>
  </conditionalFormatting>
  <dataValidations count="1">
    <dataValidation errorStyle="warning" allowBlank="1" showInputMessage="1" showErrorMessage="1" promptTitle="MobiReady" prompt="Sum of W3C Critical and Severe Failures below" sqref="C12:G12 C36:G36 C60:G6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doData">
                <anchor moveWithCells="1" sizeWithCells="1">
                  <from>
                    <xdr:col>7</xdr:col>
                    <xdr:colOff>457200</xdr:colOff>
                    <xdr:row>4</xdr:row>
                    <xdr:rowOff>104775</xdr:rowOff>
                  </from>
                  <to>
                    <xdr:col>9</xdr:col>
                    <xdr:colOff>95250</xdr:colOff>
                    <xdr:row>5</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URLS">
                <anchor moveWithCells="1" sizeWithCells="1">
                  <from>
                    <xdr:col>7</xdr:col>
                    <xdr:colOff>466725</xdr:colOff>
                    <xdr:row>1</xdr:row>
                    <xdr:rowOff>66675</xdr:rowOff>
                  </from>
                  <to>
                    <xdr:col>9</xdr:col>
                    <xdr:colOff>104775</xdr:colOff>
                    <xdr:row>3</xdr:row>
                    <xdr:rowOff>133350</xdr:rowOff>
                  </to>
                </anchor>
              </controlPr>
            </control>
          </mc:Choice>
        </mc:AlternateContent>
        <mc:AlternateContent xmlns:mc="http://schemas.openxmlformats.org/markup-compatibility/2006">
          <mc:Choice Requires="x14">
            <control shapeId="1027" r:id="rId6" name="Button 3">
              <controlPr defaultSize="0" print="0" autoFill="0" autoPict="0" macro="[0]!Pivot2">
                <anchor moveWithCells="1" sizeWithCells="1">
                  <from>
                    <xdr:col>7</xdr:col>
                    <xdr:colOff>476250</xdr:colOff>
                    <xdr:row>6</xdr:row>
                    <xdr:rowOff>152400</xdr:rowOff>
                  </from>
                  <to>
                    <xdr:col>9</xdr:col>
                    <xdr:colOff>114300</xdr:colOff>
                    <xdr:row>6</xdr:row>
                    <xdr:rowOff>600075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23"/>
  <sheetViews>
    <sheetView workbookViewId="0">
      <selection activeCell="C3" sqref="C3"/>
    </sheetView>
  </sheetViews>
  <sheetFormatPr defaultRowHeight="15" x14ac:dyDescent="0.25"/>
  <cols>
    <col min="1" max="1" width="7.28515625" customWidth="1"/>
    <col min="2" max="2" width="28.28515625" style="2" customWidth="1"/>
    <col min="3" max="22" width="10.5703125" customWidth="1"/>
  </cols>
  <sheetData>
    <row r="1" spans="1:23" x14ac:dyDescent="0.25">
      <c r="C1" s="38" t="s">
        <v>20</v>
      </c>
      <c r="D1" s="38"/>
      <c r="E1" s="38"/>
      <c r="F1" s="38"/>
      <c r="G1" s="38"/>
      <c r="H1" s="38"/>
      <c r="I1" s="38"/>
      <c r="J1" s="38"/>
      <c r="K1" s="38"/>
      <c r="L1" s="38"/>
      <c r="M1" s="39" t="s">
        <v>19</v>
      </c>
      <c r="N1" s="39"/>
      <c r="O1" s="39"/>
      <c r="P1" s="39"/>
      <c r="Q1" s="39"/>
      <c r="R1" s="39"/>
      <c r="S1" s="39"/>
      <c r="T1" s="39"/>
      <c r="U1" s="39"/>
      <c r="V1" s="39"/>
    </row>
    <row r="2" spans="1:23" x14ac:dyDescent="0.25">
      <c r="A2" t="s">
        <v>4</v>
      </c>
      <c r="C2" s="12" t="str">
        <f>URLs!B1</f>
        <v>Xfinity</v>
      </c>
      <c r="D2" s="12" t="str">
        <f>URLs!C1</f>
        <v>DirecTV</v>
      </c>
      <c r="E2" s="12" t="str">
        <f>URLs!D1</f>
        <v>Dish Network</v>
      </c>
      <c r="F2" s="12" t="str">
        <f>URLs!E1</f>
        <v>ATT Uverse</v>
      </c>
      <c r="G2" s="12" t="str">
        <f>URLs!F1</f>
        <v>Time Warner Cable</v>
      </c>
      <c r="H2" s="12">
        <f>URLs!G1</f>
        <v>0</v>
      </c>
      <c r="I2" s="12">
        <f>URLs!H1</f>
        <v>0</v>
      </c>
      <c r="J2" s="12">
        <f>URLs!I1</f>
        <v>0</v>
      </c>
      <c r="K2" s="12">
        <f>URLs!J1</f>
        <v>0</v>
      </c>
      <c r="L2" s="12">
        <f>URLs!K1</f>
        <v>0</v>
      </c>
      <c r="M2" s="12" t="str">
        <f>URLs!B1</f>
        <v>Xfinity</v>
      </c>
      <c r="N2" s="12" t="str">
        <f>URLs!C1</f>
        <v>DirecTV</v>
      </c>
      <c r="O2" s="12" t="str">
        <f>URLs!D1</f>
        <v>Dish Network</v>
      </c>
      <c r="P2" s="12" t="str">
        <f>URLs!E1</f>
        <v>ATT Uverse</v>
      </c>
      <c r="Q2" s="12" t="str">
        <f>URLs!F1</f>
        <v>Time Warner Cable</v>
      </c>
      <c r="R2" s="12">
        <f>URLs!G1</f>
        <v>0</v>
      </c>
      <c r="S2" s="12">
        <f>URLs!H1</f>
        <v>0</v>
      </c>
      <c r="T2" s="12">
        <f>URLs!I1</f>
        <v>0</v>
      </c>
      <c r="U2" s="12">
        <f>URLs!J1</f>
        <v>0</v>
      </c>
      <c r="V2" s="12">
        <f>URLs!K1</f>
        <v>0</v>
      </c>
    </row>
    <row r="3" spans="1:23" x14ac:dyDescent="0.25">
      <c r="A3" s="3">
        <v>47</v>
      </c>
      <c r="B3" s="2" t="s">
        <v>1</v>
      </c>
      <c r="C3" s="26">
        <f>IFERROR(AVERAGE('Tech Scores'!C3,'Tech Scores'!C27,'Tech Scores'!C51,'Tech Scores'!#REF!,'Tech Scores'!#REF!,'Tech Scores'!#REF!,'Tech Scores'!#REF!,'Tech Scores'!#REF!,'Tech Scores'!#REF!,'Tech Scores'!#REF!,'Tech Scores'!#REF!,'Tech Scores'!#REF!),-1)</f>
        <v>-1</v>
      </c>
      <c r="D3" s="26">
        <f>IFERROR(AVERAGE('Tech Scores'!D3,'Tech Scores'!D27,'Tech Scores'!D51,'Tech Scores'!#REF!,'Tech Scores'!#REF!,'Tech Scores'!#REF!,'Tech Scores'!#REF!,'Tech Scores'!#REF!,'Tech Scores'!#REF!,'Tech Scores'!#REF!,'Tech Scores'!#REF!,'Tech Scores'!#REF!),-1)</f>
        <v>-1</v>
      </c>
      <c r="E3" s="26">
        <f>IFERROR(AVERAGE('Tech Scores'!E3,'Tech Scores'!E27,'Tech Scores'!E51,'Tech Scores'!#REF!,'Tech Scores'!#REF!,'Tech Scores'!#REF!,'Tech Scores'!#REF!,'Tech Scores'!#REF!,'Tech Scores'!#REF!,'Tech Scores'!#REF!,'Tech Scores'!#REF!,'Tech Scores'!#REF!),-1)</f>
        <v>-1</v>
      </c>
      <c r="F3" s="26">
        <f>IFERROR(AVERAGE('Tech Scores'!F3,'Tech Scores'!F27,'Tech Scores'!F51,'Tech Scores'!#REF!,'Tech Scores'!#REF!,'Tech Scores'!#REF!,'Tech Scores'!#REF!,'Tech Scores'!#REF!,'Tech Scores'!#REF!,'Tech Scores'!#REF!,'Tech Scores'!#REF!,'Tech Scores'!#REF!),-1)</f>
        <v>-1</v>
      </c>
      <c r="G3" s="26">
        <f>IFERROR(AVERAGE('Tech Scores'!G3,'Tech Scores'!G27,'Tech Scores'!G51,'Tech Scores'!#REF!,'Tech Scores'!#REF!,'Tech Scores'!#REF!,'Tech Scores'!#REF!,'Tech Scores'!#REF!,'Tech Scores'!#REF!,'Tech Scores'!#REF!,'Tech Scores'!#REF!,'Tech Scores'!#REF!),-1)</f>
        <v>-1</v>
      </c>
      <c r="H3" s="26">
        <f>IFERROR(AVERAGE('Tech Scores'!#REF!,'Tech Scores'!#REF!,'Tech Scores'!#REF!,'Tech Scores'!#REF!,'Tech Scores'!#REF!,'Tech Scores'!#REF!,'Tech Scores'!#REF!,'Tech Scores'!#REF!,'Tech Scores'!#REF!,'Tech Scores'!#REF!,'Tech Scores'!#REF!,'Tech Scores'!#REF!),-1)</f>
        <v>-1</v>
      </c>
      <c r="I3" s="26">
        <f>IFERROR(AVERAGE('Tech Scores'!#REF!,'Tech Scores'!#REF!,'Tech Scores'!#REF!,'Tech Scores'!#REF!,'Tech Scores'!#REF!,'Tech Scores'!#REF!,'Tech Scores'!#REF!,'Tech Scores'!#REF!,'Tech Scores'!#REF!,'Tech Scores'!#REF!,'Tech Scores'!#REF!,'Tech Scores'!#REF!),-1)</f>
        <v>-1</v>
      </c>
      <c r="J3" s="26">
        <f>IFERROR(AVERAGE('Tech Scores'!#REF!,'Tech Scores'!#REF!,'Tech Scores'!#REF!,'Tech Scores'!#REF!,'Tech Scores'!#REF!,'Tech Scores'!#REF!,'Tech Scores'!#REF!,'Tech Scores'!#REF!,'Tech Scores'!#REF!,'Tech Scores'!#REF!,'Tech Scores'!#REF!,'Tech Scores'!#REF!),-1)</f>
        <v>-1</v>
      </c>
      <c r="K3" s="26">
        <f>IFERROR(AVERAGE('Tech Scores'!#REF!,'Tech Scores'!#REF!,'Tech Scores'!#REF!,'Tech Scores'!#REF!,'Tech Scores'!#REF!,'Tech Scores'!#REF!,'Tech Scores'!#REF!,'Tech Scores'!#REF!,'Tech Scores'!#REF!,'Tech Scores'!#REF!,'Tech Scores'!#REF!,'Tech Scores'!#REF!),-1)</f>
        <v>-1</v>
      </c>
      <c r="L3" s="26">
        <f>IFERROR(AVERAGE('Tech Scores'!#REF!,'Tech Scores'!#REF!,'Tech Scores'!#REF!,'Tech Scores'!#REF!,'Tech Scores'!#REF!,'Tech Scores'!#REF!,'Tech Scores'!#REF!,'Tech Scores'!#REF!,'Tech Scores'!#REF!,'Tech Scores'!#REF!,'Tech Scores'!#REF!,'Tech Scores'!#REF!),-1)</f>
        <v>-1</v>
      </c>
      <c r="M3" s="11">
        <f>IFERROR(LOOKUP(INT(C3),{0,1,10,25,50,100},{5,4,3,2,1,0}),-1)</f>
        <v>-1</v>
      </c>
      <c r="N3" s="11">
        <f>IFERROR(LOOKUP(INT(D3),{0,1,10,25,50,100},{5,4,3,2,1,0}),-1)</f>
        <v>-1</v>
      </c>
      <c r="O3" s="11">
        <f>IFERROR(LOOKUP(INT(E3),{0,1,10,25,50,100},{5,4,3,2,1,0}),-1)</f>
        <v>-1</v>
      </c>
      <c r="P3" s="11">
        <f>IFERROR(LOOKUP(INT(F3),{0,1,10,25,50,100},{5,4,3,2,1,0}),-1)</f>
        <v>-1</v>
      </c>
      <c r="Q3" s="11">
        <f>IFERROR(LOOKUP(INT(G3),{0,1,10,25,50,100},{5,4,3,2,1,0}),-1)</f>
        <v>-1</v>
      </c>
      <c r="R3" s="11">
        <f>IFERROR(LOOKUP(INT(H3),{0,1,10,25,50,100},{5,4,3,2,1,0}),-1)</f>
        <v>-1</v>
      </c>
      <c r="S3" s="11">
        <f>IFERROR(LOOKUP(INT(I3),{0,1,10,25,50,100},{5,4,3,2,1,0}),-1)</f>
        <v>-1</v>
      </c>
      <c r="T3" s="11">
        <f>IFERROR(LOOKUP(INT(J3),{0,1,10,25,50,100},{5,4,3,2,1,0}),-1)</f>
        <v>-1</v>
      </c>
      <c r="U3" s="11">
        <f>IFERROR(LOOKUP(INT(K3),{0,1,10,25,50,100},{5,4,3,2,1,0}),-1)</f>
        <v>-1</v>
      </c>
      <c r="V3" s="11">
        <f>IFERROR(LOOKUP(INT(L3),{0,1,10,25,50,100},{5,4,3,2,1,0}),-1)</f>
        <v>-1</v>
      </c>
    </row>
    <row r="4" spans="1:23" x14ac:dyDescent="0.25">
      <c r="A4" s="3">
        <v>49</v>
      </c>
      <c r="B4" s="2" t="s">
        <v>2</v>
      </c>
      <c r="C4" s="26">
        <f>IFERROR(AVERAGE('Tech Scores'!C4,'Tech Scores'!C28,'Tech Scores'!C52,'Tech Scores'!#REF!,'Tech Scores'!#REF!,'Tech Scores'!#REF!,'Tech Scores'!#REF!,'Tech Scores'!#REF!,'Tech Scores'!#REF!,'Tech Scores'!#REF!,'Tech Scores'!#REF!,'Tech Scores'!#REF!),-1)</f>
        <v>-1</v>
      </c>
      <c r="D4" s="26">
        <f>IFERROR(AVERAGE('Tech Scores'!D4,'Tech Scores'!D28,'Tech Scores'!D52,'Tech Scores'!#REF!,'Tech Scores'!#REF!,'Tech Scores'!#REF!,'Tech Scores'!#REF!,'Tech Scores'!#REF!,'Tech Scores'!#REF!,'Tech Scores'!#REF!,'Tech Scores'!#REF!,'Tech Scores'!#REF!),-1)</f>
        <v>-1</v>
      </c>
      <c r="E4" s="26">
        <f>IFERROR(AVERAGE('Tech Scores'!E4,'Tech Scores'!E28,'Tech Scores'!E52,'Tech Scores'!#REF!,'Tech Scores'!#REF!,'Tech Scores'!#REF!,'Tech Scores'!#REF!,'Tech Scores'!#REF!,'Tech Scores'!#REF!,'Tech Scores'!#REF!,'Tech Scores'!#REF!,'Tech Scores'!#REF!),-1)</f>
        <v>-1</v>
      </c>
      <c r="F4" s="26">
        <f>IFERROR(AVERAGE('Tech Scores'!F4,'Tech Scores'!F28,'Tech Scores'!F52,'Tech Scores'!#REF!,'Tech Scores'!#REF!,'Tech Scores'!#REF!,'Tech Scores'!#REF!,'Tech Scores'!#REF!,'Tech Scores'!#REF!,'Tech Scores'!#REF!,'Tech Scores'!#REF!,'Tech Scores'!#REF!),-1)</f>
        <v>-1</v>
      </c>
      <c r="G4" s="26">
        <f>IFERROR(AVERAGE('Tech Scores'!G4,'Tech Scores'!G28,'Tech Scores'!G52,'Tech Scores'!#REF!,'Tech Scores'!#REF!,'Tech Scores'!#REF!,'Tech Scores'!#REF!,'Tech Scores'!#REF!,'Tech Scores'!#REF!,'Tech Scores'!#REF!,'Tech Scores'!#REF!,'Tech Scores'!#REF!),-1)</f>
        <v>-1</v>
      </c>
      <c r="H4" s="26">
        <f>IFERROR(AVERAGE('Tech Scores'!#REF!,'Tech Scores'!#REF!,'Tech Scores'!#REF!,'Tech Scores'!#REF!,'Tech Scores'!#REF!,'Tech Scores'!#REF!,'Tech Scores'!#REF!,'Tech Scores'!#REF!,'Tech Scores'!#REF!,'Tech Scores'!#REF!,'Tech Scores'!#REF!,'Tech Scores'!#REF!),-1)</f>
        <v>-1</v>
      </c>
      <c r="I4" s="26">
        <f>IFERROR(AVERAGE('Tech Scores'!#REF!,'Tech Scores'!#REF!,'Tech Scores'!#REF!,'Tech Scores'!#REF!,'Tech Scores'!#REF!,'Tech Scores'!#REF!,'Tech Scores'!#REF!,'Tech Scores'!#REF!,'Tech Scores'!#REF!,'Tech Scores'!#REF!,'Tech Scores'!#REF!,'Tech Scores'!#REF!),-1)</f>
        <v>-1</v>
      </c>
      <c r="J4" s="26">
        <f>IFERROR(AVERAGE('Tech Scores'!#REF!,'Tech Scores'!#REF!,'Tech Scores'!#REF!,'Tech Scores'!#REF!,'Tech Scores'!#REF!,'Tech Scores'!#REF!,'Tech Scores'!#REF!,'Tech Scores'!#REF!,'Tech Scores'!#REF!,'Tech Scores'!#REF!,'Tech Scores'!#REF!,'Tech Scores'!#REF!),-1)</f>
        <v>-1</v>
      </c>
      <c r="K4" s="26">
        <f>IFERROR(AVERAGE('Tech Scores'!#REF!,'Tech Scores'!#REF!,'Tech Scores'!#REF!,'Tech Scores'!#REF!,'Tech Scores'!#REF!,'Tech Scores'!#REF!,'Tech Scores'!#REF!,'Tech Scores'!#REF!,'Tech Scores'!#REF!,'Tech Scores'!#REF!,'Tech Scores'!#REF!,'Tech Scores'!#REF!),-1)</f>
        <v>-1</v>
      </c>
      <c r="L4" s="26">
        <f>IFERROR(AVERAGE('Tech Scores'!#REF!,'Tech Scores'!#REF!,'Tech Scores'!#REF!,'Tech Scores'!#REF!,'Tech Scores'!#REF!,'Tech Scores'!#REF!,'Tech Scores'!#REF!,'Tech Scores'!#REF!,'Tech Scores'!#REF!,'Tech Scores'!#REF!,'Tech Scores'!#REF!,'Tech Scores'!#REF!),-1)</f>
        <v>-1</v>
      </c>
      <c r="M4" s="11">
        <f>IFERROR(LOOKUP(INT(C4),{0,1,10,25,50,100},{5,4,3,2,1,0}),-1)</f>
        <v>-1</v>
      </c>
      <c r="N4" s="11">
        <f>IFERROR(LOOKUP(INT(D4),{0,1,10,25,50,100},{5,4,3,2,1,0}),-1)</f>
        <v>-1</v>
      </c>
      <c r="O4" s="11">
        <f>IFERROR(LOOKUP(INT(E4),{0,1,10,25,50,100},{5,4,3,2,1,0}),-1)</f>
        <v>-1</v>
      </c>
      <c r="P4" s="11">
        <f>IFERROR(LOOKUP(INT(F4),{0,1,10,25,50,100},{5,4,3,2,1,0}),-1)</f>
        <v>-1</v>
      </c>
      <c r="Q4" s="11">
        <f>IFERROR(LOOKUP(INT(G4),{0,1,10,25,50,100},{5,4,3,2,1,0}),-1)</f>
        <v>-1</v>
      </c>
      <c r="R4" s="11">
        <f>IFERROR(LOOKUP(INT(H4),{0,1,10,25,50,100},{5,4,3,2,1,0}),-1)</f>
        <v>-1</v>
      </c>
      <c r="S4" s="11">
        <f>IFERROR(LOOKUP(INT(I4),{0,1,10,25,50,100},{5,4,3,2,1,0}),-1)</f>
        <v>-1</v>
      </c>
      <c r="T4" s="11">
        <f>IFERROR(LOOKUP(INT(J4),{0,1,10,25,50,100},{5,4,3,2,1,0}),-1)</f>
        <v>-1</v>
      </c>
      <c r="U4" s="11">
        <f>IFERROR(LOOKUP(INT(K4),{0,1,10,25,50,100},{5,4,3,2,1,0}),-1)</f>
        <v>-1</v>
      </c>
      <c r="V4" s="11">
        <f>IFERROR(LOOKUP(INT(L4),{0,1,10,25,50,100},{5,4,3,2,1,0}),-1)</f>
        <v>-1</v>
      </c>
    </row>
    <row r="5" spans="1:23" ht="30" x14ac:dyDescent="0.25">
      <c r="A5" s="3">
        <v>342</v>
      </c>
      <c r="B5" s="2" t="s">
        <v>3</v>
      </c>
      <c r="C5" s="26">
        <f>IFERROR(AVERAGE('Tech Scores'!C5,'Tech Scores'!C29,'Tech Scores'!C53,'Tech Scores'!#REF!,'Tech Scores'!#REF!,'Tech Scores'!#REF!,'Tech Scores'!#REF!,'Tech Scores'!#REF!,'Tech Scores'!#REF!,'Tech Scores'!#REF!,'Tech Scores'!#REF!,'Tech Scores'!#REF!),-1)</f>
        <v>-1</v>
      </c>
      <c r="D5" s="26">
        <f>IFERROR(AVERAGE('Tech Scores'!D5,'Tech Scores'!D29,'Tech Scores'!D53,'Tech Scores'!#REF!,'Tech Scores'!#REF!,'Tech Scores'!#REF!,'Tech Scores'!#REF!,'Tech Scores'!#REF!,'Tech Scores'!#REF!,'Tech Scores'!#REF!,'Tech Scores'!#REF!,'Tech Scores'!#REF!),-1)</f>
        <v>-1</v>
      </c>
      <c r="E5" s="26">
        <f>IFERROR(AVERAGE('Tech Scores'!E5,'Tech Scores'!E29,'Tech Scores'!E53,'Tech Scores'!#REF!,'Tech Scores'!#REF!,'Tech Scores'!#REF!,'Tech Scores'!#REF!,'Tech Scores'!#REF!,'Tech Scores'!#REF!,'Tech Scores'!#REF!,'Tech Scores'!#REF!,'Tech Scores'!#REF!),-1)</f>
        <v>-1</v>
      </c>
      <c r="F5" s="26">
        <f>IFERROR(AVERAGE('Tech Scores'!F5,'Tech Scores'!F29,'Tech Scores'!F53,'Tech Scores'!#REF!,'Tech Scores'!#REF!,'Tech Scores'!#REF!,'Tech Scores'!#REF!,'Tech Scores'!#REF!,'Tech Scores'!#REF!,'Tech Scores'!#REF!,'Tech Scores'!#REF!,'Tech Scores'!#REF!),-1)</f>
        <v>-1</v>
      </c>
      <c r="G5" s="26">
        <f>IFERROR(AVERAGE('Tech Scores'!G5,'Tech Scores'!G29,'Tech Scores'!G53,'Tech Scores'!#REF!,'Tech Scores'!#REF!,'Tech Scores'!#REF!,'Tech Scores'!#REF!,'Tech Scores'!#REF!,'Tech Scores'!#REF!,'Tech Scores'!#REF!,'Tech Scores'!#REF!,'Tech Scores'!#REF!),-1)</f>
        <v>-1</v>
      </c>
      <c r="H5" s="26">
        <f>IFERROR(AVERAGE('Tech Scores'!#REF!,'Tech Scores'!#REF!,'Tech Scores'!#REF!,'Tech Scores'!#REF!,'Tech Scores'!#REF!,'Tech Scores'!#REF!,'Tech Scores'!#REF!,'Tech Scores'!#REF!,'Tech Scores'!#REF!,'Tech Scores'!#REF!,'Tech Scores'!#REF!,'Tech Scores'!#REF!),-1)</f>
        <v>-1</v>
      </c>
      <c r="I5" s="26">
        <f>IFERROR(AVERAGE('Tech Scores'!#REF!,'Tech Scores'!#REF!,'Tech Scores'!#REF!,'Tech Scores'!#REF!,'Tech Scores'!#REF!,'Tech Scores'!#REF!,'Tech Scores'!#REF!,'Tech Scores'!#REF!,'Tech Scores'!#REF!,'Tech Scores'!#REF!,'Tech Scores'!#REF!,'Tech Scores'!#REF!),-1)</f>
        <v>-1</v>
      </c>
      <c r="J5" s="26">
        <f>IFERROR(AVERAGE('Tech Scores'!#REF!,'Tech Scores'!#REF!,'Tech Scores'!#REF!,'Tech Scores'!#REF!,'Tech Scores'!#REF!,'Tech Scores'!#REF!,'Tech Scores'!#REF!,'Tech Scores'!#REF!,'Tech Scores'!#REF!,'Tech Scores'!#REF!,'Tech Scores'!#REF!,'Tech Scores'!#REF!),-1)</f>
        <v>-1</v>
      </c>
      <c r="K5" s="26">
        <f>IFERROR(AVERAGE('Tech Scores'!#REF!,'Tech Scores'!#REF!,'Tech Scores'!#REF!,'Tech Scores'!#REF!,'Tech Scores'!#REF!,'Tech Scores'!#REF!,'Tech Scores'!#REF!,'Tech Scores'!#REF!,'Tech Scores'!#REF!,'Tech Scores'!#REF!,'Tech Scores'!#REF!,'Tech Scores'!#REF!),-1)</f>
        <v>-1</v>
      </c>
      <c r="L5" s="26">
        <f>IFERROR(AVERAGE('Tech Scores'!#REF!,'Tech Scores'!#REF!,'Tech Scores'!#REF!,'Tech Scores'!#REF!,'Tech Scores'!#REF!,'Tech Scores'!#REF!,'Tech Scores'!#REF!,'Tech Scores'!#REF!,'Tech Scores'!#REF!,'Tech Scores'!#REF!,'Tech Scores'!#REF!,'Tech Scores'!#REF!),-1)</f>
        <v>-1</v>
      </c>
      <c r="M5" s="11">
        <f>IFERROR(LOOKUP(INT(C5),{0,5,10,20,35,50},{5,4,3,2,1,0}),-1)</f>
        <v>-1</v>
      </c>
      <c r="N5" s="11">
        <f>IFERROR(LOOKUP(INT(D5),{0,5,10,20,35,50},{5,4,3,2,1,0}),-1)</f>
        <v>-1</v>
      </c>
      <c r="O5" s="11">
        <f>IFERROR(LOOKUP(INT(E5),{0,5,10,20,35,50},{5,4,3,2,1,0}),-1)</f>
        <v>-1</v>
      </c>
      <c r="P5" s="11">
        <f>IFERROR(LOOKUP(INT(F5),{0,5,10,20,35,50},{5,4,3,2,1,0}),-1)</f>
        <v>-1</v>
      </c>
      <c r="Q5" s="11">
        <f>IFERROR(LOOKUP(INT(G5),{0,5,10,20,35,50},{5,4,3,2,1,0}),-1)</f>
        <v>-1</v>
      </c>
      <c r="R5" s="11">
        <f>IFERROR(LOOKUP(INT(H5),{0,5,10,20,35,50},{5,4,3,2,1,0}),-1)</f>
        <v>-1</v>
      </c>
      <c r="S5" s="11">
        <f>IFERROR(LOOKUP(INT(I5),{0,5,10,20,35,50},{5,4,3,2,1,0}),-1)</f>
        <v>-1</v>
      </c>
      <c r="T5" s="11">
        <f>IFERROR(LOOKUP(INT(J5),{0,5,10,20,35,50},{5,4,3,2,1,0}),-1)</f>
        <v>-1</v>
      </c>
      <c r="U5" s="11">
        <f>IFERROR(LOOKUP(INT(K5),{0,5,10,20,35,50},{5,4,3,2,1,0}),-1)</f>
        <v>-1</v>
      </c>
      <c r="V5" s="11">
        <f>IFERROR(LOOKUP(INT(L5),{0,5,10,20,35,50},{5,4,3,2,1,0}),-1)</f>
        <v>-1</v>
      </c>
      <c r="W5" s="5" t="s">
        <v>10</v>
      </c>
    </row>
    <row r="6" spans="1:23" x14ac:dyDescent="0.25">
      <c r="A6" s="3">
        <v>1118</v>
      </c>
      <c r="B6" s="2" t="s">
        <v>0</v>
      </c>
      <c r="C6" s="26">
        <f>IFERROR(AVERAGE('Tech Scores'!C6,'Tech Scores'!C30,'Tech Scores'!C54,'Tech Scores'!#REF!,'Tech Scores'!#REF!,'Tech Scores'!#REF!,'Tech Scores'!#REF!,'Tech Scores'!#REF!,'Tech Scores'!#REF!,'Tech Scores'!#REF!,'Tech Scores'!#REF!,'Tech Scores'!#REF!),-1)</f>
        <v>-1</v>
      </c>
      <c r="D6" s="26">
        <f>IFERROR(AVERAGE('Tech Scores'!D6,'Tech Scores'!D30,'Tech Scores'!D54,'Tech Scores'!#REF!,'Tech Scores'!#REF!,'Tech Scores'!#REF!,'Tech Scores'!#REF!,'Tech Scores'!#REF!,'Tech Scores'!#REF!,'Tech Scores'!#REF!,'Tech Scores'!#REF!,'Tech Scores'!#REF!),-1)</f>
        <v>-1</v>
      </c>
      <c r="E6" s="26">
        <f>IFERROR(AVERAGE('Tech Scores'!E6,'Tech Scores'!E30,'Tech Scores'!E54,'Tech Scores'!#REF!,'Tech Scores'!#REF!,'Tech Scores'!#REF!,'Tech Scores'!#REF!,'Tech Scores'!#REF!,'Tech Scores'!#REF!,'Tech Scores'!#REF!,'Tech Scores'!#REF!,'Tech Scores'!#REF!),-1)</f>
        <v>-1</v>
      </c>
      <c r="F6" s="26">
        <f>IFERROR(AVERAGE('Tech Scores'!F6,'Tech Scores'!F30,'Tech Scores'!F54,'Tech Scores'!#REF!,'Tech Scores'!#REF!,'Tech Scores'!#REF!,'Tech Scores'!#REF!,'Tech Scores'!#REF!,'Tech Scores'!#REF!,'Tech Scores'!#REF!,'Tech Scores'!#REF!,'Tech Scores'!#REF!),-1)</f>
        <v>-1</v>
      </c>
      <c r="G6" s="26">
        <f>IFERROR(AVERAGE('Tech Scores'!G6,'Tech Scores'!G30,'Tech Scores'!G54,'Tech Scores'!#REF!,'Tech Scores'!#REF!,'Tech Scores'!#REF!,'Tech Scores'!#REF!,'Tech Scores'!#REF!,'Tech Scores'!#REF!,'Tech Scores'!#REF!,'Tech Scores'!#REF!,'Tech Scores'!#REF!),-1)</f>
        <v>-1</v>
      </c>
      <c r="H6" s="26">
        <f>IFERROR(AVERAGE('Tech Scores'!#REF!,'Tech Scores'!#REF!,'Tech Scores'!#REF!,'Tech Scores'!#REF!,'Tech Scores'!#REF!,'Tech Scores'!#REF!,'Tech Scores'!#REF!,'Tech Scores'!#REF!,'Tech Scores'!#REF!,'Tech Scores'!#REF!,'Tech Scores'!#REF!,'Tech Scores'!#REF!),-1)</f>
        <v>-1</v>
      </c>
      <c r="I6" s="26">
        <f>IFERROR(AVERAGE('Tech Scores'!#REF!,'Tech Scores'!#REF!,'Tech Scores'!#REF!,'Tech Scores'!#REF!,'Tech Scores'!#REF!,'Tech Scores'!#REF!,'Tech Scores'!#REF!,'Tech Scores'!#REF!,'Tech Scores'!#REF!,'Tech Scores'!#REF!,'Tech Scores'!#REF!,'Tech Scores'!#REF!),-1)</f>
        <v>-1</v>
      </c>
      <c r="J6" s="26">
        <f>IFERROR(AVERAGE('Tech Scores'!#REF!,'Tech Scores'!#REF!,'Tech Scores'!#REF!,'Tech Scores'!#REF!,'Tech Scores'!#REF!,'Tech Scores'!#REF!,'Tech Scores'!#REF!,'Tech Scores'!#REF!,'Tech Scores'!#REF!,'Tech Scores'!#REF!,'Tech Scores'!#REF!,'Tech Scores'!#REF!),-1)</f>
        <v>-1</v>
      </c>
      <c r="K6" s="26">
        <f>IFERROR(AVERAGE('Tech Scores'!#REF!,'Tech Scores'!#REF!,'Tech Scores'!#REF!,'Tech Scores'!#REF!,'Tech Scores'!#REF!,'Tech Scores'!#REF!,'Tech Scores'!#REF!,'Tech Scores'!#REF!,'Tech Scores'!#REF!,'Tech Scores'!#REF!,'Tech Scores'!#REF!,'Tech Scores'!#REF!),-1)</f>
        <v>-1</v>
      </c>
      <c r="L6" s="26">
        <f>IFERROR(AVERAGE('Tech Scores'!#REF!,'Tech Scores'!#REF!,'Tech Scores'!#REF!,'Tech Scores'!#REF!,'Tech Scores'!#REF!,'Tech Scores'!#REF!,'Tech Scores'!#REF!,'Tech Scores'!#REF!,'Tech Scores'!#REF!,'Tech Scores'!#REF!,'Tech Scores'!#REF!,'Tech Scores'!#REF!),-1)</f>
        <v>-1</v>
      </c>
      <c r="M6" s="11">
        <f>IFERROR(LOOKUP(INT(C6),{0,1,2,3,5,10},{5,4,3,2,1,0}),-1)</f>
        <v>-1</v>
      </c>
      <c r="N6" s="11">
        <f>IFERROR(LOOKUP(INT(D6),{0,1,2,3,5,10},{5,4,3,2,1,0}),-1)</f>
        <v>-1</v>
      </c>
      <c r="O6" s="11">
        <f>IFERROR(LOOKUP(INT(E6),{0,1,2,3,5,10},{5,4,3,2,1,0}),-1)</f>
        <v>-1</v>
      </c>
      <c r="P6" s="11">
        <f>IFERROR(LOOKUP(INT(F6),{0,1,2,3,5,10},{5,4,3,2,1,0}),-1)</f>
        <v>-1</v>
      </c>
      <c r="Q6" s="11">
        <f>IFERROR(LOOKUP(INT(G6),{0,1,2,3,5,10},{5,4,3,2,1,0}),-1)</f>
        <v>-1</v>
      </c>
      <c r="R6" s="11">
        <f>IFERROR(LOOKUP(INT(H6),{0,1,2,3,5,10},{5,4,3,2,1,0}),-1)</f>
        <v>-1</v>
      </c>
      <c r="S6" s="11">
        <f>IFERROR(LOOKUP(INT(I6),{0,1,2,3,5,10},{5,4,3,2,1,0}),-1)</f>
        <v>-1</v>
      </c>
      <c r="T6" s="11">
        <f>IFERROR(LOOKUP(INT(J6),{0,1,2,3,5,10},{5,4,3,2,1,0}),-1)</f>
        <v>-1</v>
      </c>
      <c r="U6" s="11">
        <f>IFERROR(LOOKUP(INT(K6),{0,1,2,3,5,10},{5,4,3,2,1,0}),-1)</f>
        <v>-1</v>
      </c>
      <c r="V6" s="11">
        <f>IFERROR(LOOKUP(INT(L6),{0,1,2,3,5,10},{5,4,3,2,1,0}),-1)</f>
        <v>-1</v>
      </c>
    </row>
    <row r="7" spans="1:23" ht="60" x14ac:dyDescent="0.25">
      <c r="A7" s="3" t="s">
        <v>5</v>
      </c>
      <c r="B7" s="2" t="s">
        <v>6</v>
      </c>
      <c r="C7" s="26">
        <f>IFERROR(AVERAGE('Tech Scores'!C7,'Tech Scores'!C31,'Tech Scores'!C55,'Tech Scores'!#REF!,'Tech Scores'!#REF!,'Tech Scores'!#REF!,'Tech Scores'!#REF!,'Tech Scores'!#REF!,'Tech Scores'!#REF!,'Tech Scores'!#REF!,'Tech Scores'!#REF!,'Tech Scores'!#REF!),-1)</f>
        <v>-1</v>
      </c>
      <c r="D7" s="26">
        <f>IFERROR(AVERAGE('Tech Scores'!D7,'Tech Scores'!D31,'Tech Scores'!D55,'Tech Scores'!#REF!,'Tech Scores'!#REF!,'Tech Scores'!#REF!,'Tech Scores'!#REF!,'Tech Scores'!#REF!,'Tech Scores'!#REF!,'Tech Scores'!#REF!,'Tech Scores'!#REF!,'Tech Scores'!#REF!),-1)</f>
        <v>-1</v>
      </c>
      <c r="E7" s="26">
        <f>IFERROR(AVERAGE('Tech Scores'!E7,'Tech Scores'!E31,'Tech Scores'!E55,'Tech Scores'!#REF!,'Tech Scores'!#REF!,'Tech Scores'!#REF!,'Tech Scores'!#REF!,'Tech Scores'!#REF!,'Tech Scores'!#REF!,'Tech Scores'!#REF!,'Tech Scores'!#REF!,'Tech Scores'!#REF!),-1)</f>
        <v>-1</v>
      </c>
      <c r="F7" s="26">
        <f>IFERROR(AVERAGE('Tech Scores'!F7,'Tech Scores'!F31,'Tech Scores'!F55,'Tech Scores'!#REF!,'Tech Scores'!#REF!,'Tech Scores'!#REF!,'Tech Scores'!#REF!,'Tech Scores'!#REF!,'Tech Scores'!#REF!,'Tech Scores'!#REF!,'Tech Scores'!#REF!,'Tech Scores'!#REF!),-1)</f>
        <v>-1</v>
      </c>
      <c r="G7" s="26">
        <f>IFERROR(AVERAGE('Tech Scores'!G7,'Tech Scores'!G31,'Tech Scores'!G55,'Tech Scores'!#REF!,'Tech Scores'!#REF!,'Tech Scores'!#REF!,'Tech Scores'!#REF!,'Tech Scores'!#REF!,'Tech Scores'!#REF!,'Tech Scores'!#REF!,'Tech Scores'!#REF!,'Tech Scores'!#REF!),-1)</f>
        <v>-1</v>
      </c>
      <c r="H7" s="26">
        <f>IFERROR(AVERAGE('Tech Scores'!#REF!,'Tech Scores'!#REF!,'Tech Scores'!#REF!,'Tech Scores'!#REF!,'Tech Scores'!#REF!,'Tech Scores'!#REF!,'Tech Scores'!#REF!,'Tech Scores'!#REF!,'Tech Scores'!#REF!,'Tech Scores'!#REF!,'Tech Scores'!#REF!,'Tech Scores'!#REF!),-1)</f>
        <v>-1</v>
      </c>
      <c r="I7" s="26">
        <f>IFERROR(AVERAGE('Tech Scores'!#REF!,'Tech Scores'!#REF!,'Tech Scores'!#REF!,'Tech Scores'!#REF!,'Tech Scores'!#REF!,'Tech Scores'!#REF!,'Tech Scores'!#REF!,'Tech Scores'!#REF!,'Tech Scores'!#REF!,'Tech Scores'!#REF!,'Tech Scores'!#REF!,'Tech Scores'!#REF!),-1)</f>
        <v>-1</v>
      </c>
      <c r="J7" s="26">
        <f>IFERROR(AVERAGE('Tech Scores'!#REF!,'Tech Scores'!#REF!,'Tech Scores'!#REF!,'Tech Scores'!#REF!,'Tech Scores'!#REF!,'Tech Scores'!#REF!,'Tech Scores'!#REF!,'Tech Scores'!#REF!,'Tech Scores'!#REF!,'Tech Scores'!#REF!,'Tech Scores'!#REF!,'Tech Scores'!#REF!),-1)</f>
        <v>-1</v>
      </c>
      <c r="K7" s="26">
        <f>IFERROR(AVERAGE('Tech Scores'!#REF!,'Tech Scores'!#REF!,'Tech Scores'!#REF!,'Tech Scores'!#REF!,'Tech Scores'!#REF!,'Tech Scores'!#REF!,'Tech Scores'!#REF!,'Tech Scores'!#REF!,'Tech Scores'!#REF!,'Tech Scores'!#REF!,'Tech Scores'!#REF!,'Tech Scores'!#REF!),-1)</f>
        <v>-1</v>
      </c>
      <c r="L7" s="26">
        <f>IFERROR(AVERAGE('Tech Scores'!#REF!,'Tech Scores'!#REF!,'Tech Scores'!#REF!,'Tech Scores'!#REF!,'Tech Scores'!#REF!,'Tech Scores'!#REF!,'Tech Scores'!#REF!,'Tech Scores'!#REF!,'Tech Scores'!#REF!,'Tech Scores'!#REF!,'Tech Scores'!#REF!,'Tech Scores'!#REF!),-1)</f>
        <v>-1</v>
      </c>
      <c r="M7" s="11">
        <f>IFERROR(LOOKUP(INT(C7),{0,1,3,6,9,12},{5,4,3,2,1,0}),-1)</f>
        <v>-1</v>
      </c>
      <c r="N7" s="11">
        <f>IFERROR(LOOKUP(INT(D7),{0,1,3,6,9,12},{5,4,3,2,1,0}),-1)</f>
        <v>-1</v>
      </c>
      <c r="O7" s="11">
        <f>IFERROR(LOOKUP(INT(E7),{0,1,3,6,9,12},{5,4,3,2,1,0}),-1)</f>
        <v>-1</v>
      </c>
      <c r="P7" s="11">
        <f>IFERROR(LOOKUP(INT(F7),{0,1,3,6,9,12},{5,4,3,2,1,0}),-1)</f>
        <v>-1</v>
      </c>
      <c r="Q7" s="11">
        <f>IFERROR(LOOKUP(INT(G7),{0,1,3,6,9,12},{5,4,3,2,1,0}),-1)</f>
        <v>-1</v>
      </c>
      <c r="R7" s="11">
        <f>IFERROR(LOOKUP(INT(H7),{0,1,3,6,9,12},{5,4,3,2,1,0}),-1)</f>
        <v>-1</v>
      </c>
      <c r="S7" s="11">
        <f>IFERROR(LOOKUP(INT(I7),{0,1,3,6,9,12},{5,4,3,2,1,0}),-1)</f>
        <v>-1</v>
      </c>
      <c r="T7" s="11">
        <f>IFERROR(LOOKUP(INT(J7),{0,1,3,6,9,12},{5,4,3,2,1,0}),-1)</f>
        <v>-1</v>
      </c>
      <c r="U7" s="11">
        <f>IFERROR(LOOKUP(INT(K7),{0,1,3,6,9,12},{5,4,3,2,1,0}),-1)</f>
        <v>-1</v>
      </c>
      <c r="V7" s="11">
        <f>IFERROR(LOOKUP(INT(L7),{0,1,3,6,9,12},{5,4,3,2,1,0}),-1)</f>
        <v>-1</v>
      </c>
    </row>
    <row r="8" spans="1:23" x14ac:dyDescent="0.25">
      <c r="A8" s="3">
        <v>94</v>
      </c>
      <c r="B8" s="2" t="s">
        <v>31</v>
      </c>
      <c r="C8" s="26">
        <f>IFERROR(AVERAGE('Tech Scores'!C8,'Tech Scores'!C32,'Tech Scores'!C56,'Tech Scores'!#REF!,'Tech Scores'!#REF!,'Tech Scores'!#REF!,'Tech Scores'!#REF!,'Tech Scores'!#REF!,'Tech Scores'!#REF!,'Tech Scores'!#REF!,'Tech Scores'!#REF!,'Tech Scores'!#REF!),-1)</f>
        <v>-1</v>
      </c>
      <c r="D8" s="26">
        <f>IFERROR(AVERAGE('Tech Scores'!D8,'Tech Scores'!D32,'Tech Scores'!D56,'Tech Scores'!#REF!,'Tech Scores'!#REF!,'Tech Scores'!#REF!,'Tech Scores'!#REF!,'Tech Scores'!#REF!,'Tech Scores'!#REF!,'Tech Scores'!#REF!,'Tech Scores'!#REF!,'Tech Scores'!#REF!),-1)</f>
        <v>-1</v>
      </c>
      <c r="E8" s="26">
        <f>IFERROR(AVERAGE('Tech Scores'!E8,'Tech Scores'!E32,'Tech Scores'!E56,'Tech Scores'!#REF!,'Tech Scores'!#REF!,'Tech Scores'!#REF!,'Tech Scores'!#REF!,'Tech Scores'!#REF!,'Tech Scores'!#REF!,'Tech Scores'!#REF!,'Tech Scores'!#REF!,'Tech Scores'!#REF!),-1)</f>
        <v>-1</v>
      </c>
      <c r="F8" s="26">
        <f>IFERROR(AVERAGE('Tech Scores'!F8,'Tech Scores'!F32,'Tech Scores'!F56,'Tech Scores'!#REF!,'Tech Scores'!#REF!,'Tech Scores'!#REF!,'Tech Scores'!#REF!,'Tech Scores'!#REF!,'Tech Scores'!#REF!,'Tech Scores'!#REF!,'Tech Scores'!#REF!,'Tech Scores'!#REF!),-1)</f>
        <v>-1</v>
      </c>
      <c r="G8" s="26">
        <f>IFERROR(AVERAGE('Tech Scores'!G8,'Tech Scores'!G32,'Tech Scores'!G56,'Tech Scores'!#REF!,'Tech Scores'!#REF!,'Tech Scores'!#REF!,'Tech Scores'!#REF!,'Tech Scores'!#REF!,'Tech Scores'!#REF!,'Tech Scores'!#REF!,'Tech Scores'!#REF!,'Tech Scores'!#REF!),-1)</f>
        <v>-1</v>
      </c>
      <c r="H8" s="26">
        <f>IFERROR(AVERAGE('Tech Scores'!#REF!,'Tech Scores'!#REF!,'Tech Scores'!#REF!,'Tech Scores'!#REF!,'Tech Scores'!#REF!,'Tech Scores'!#REF!,'Tech Scores'!#REF!,'Tech Scores'!#REF!,'Tech Scores'!#REF!,'Tech Scores'!#REF!,'Tech Scores'!#REF!,'Tech Scores'!#REF!),-1)</f>
        <v>-1</v>
      </c>
      <c r="I8" s="26">
        <f>IFERROR(AVERAGE('Tech Scores'!#REF!,'Tech Scores'!#REF!,'Tech Scores'!#REF!,'Tech Scores'!#REF!,'Tech Scores'!#REF!,'Tech Scores'!#REF!,'Tech Scores'!#REF!,'Tech Scores'!#REF!,'Tech Scores'!#REF!,'Tech Scores'!#REF!,'Tech Scores'!#REF!,'Tech Scores'!#REF!),-1)</f>
        <v>-1</v>
      </c>
      <c r="J8" s="26">
        <f>IFERROR(AVERAGE('Tech Scores'!#REF!,'Tech Scores'!#REF!,'Tech Scores'!#REF!,'Tech Scores'!#REF!,'Tech Scores'!#REF!,'Tech Scores'!#REF!,'Tech Scores'!#REF!,'Tech Scores'!#REF!,'Tech Scores'!#REF!,'Tech Scores'!#REF!,'Tech Scores'!#REF!,'Tech Scores'!#REF!),-1)</f>
        <v>-1</v>
      </c>
      <c r="K8" s="26">
        <f>IFERROR(AVERAGE('Tech Scores'!#REF!,'Tech Scores'!#REF!,'Tech Scores'!#REF!,'Tech Scores'!#REF!,'Tech Scores'!#REF!,'Tech Scores'!#REF!,'Tech Scores'!#REF!,'Tech Scores'!#REF!,'Tech Scores'!#REF!,'Tech Scores'!#REF!,'Tech Scores'!#REF!,'Tech Scores'!#REF!),-1)</f>
        <v>-1</v>
      </c>
      <c r="L8" s="26">
        <f>IFERROR(AVERAGE('Tech Scores'!#REF!,'Tech Scores'!#REF!,'Tech Scores'!#REF!,'Tech Scores'!#REF!,'Tech Scores'!#REF!,'Tech Scores'!#REF!,'Tech Scores'!#REF!,'Tech Scores'!#REF!,'Tech Scores'!#REF!,'Tech Scores'!#REF!,'Tech Scores'!#REF!,'Tech Scores'!#REF!),-1)</f>
        <v>-1</v>
      </c>
      <c r="M8" s="11">
        <f>IFERROR(LOOKUP(INT(C8),{0,400,700,1000,1300,1500},{5,4,3,2,1,0}),-1)</f>
        <v>-1</v>
      </c>
      <c r="N8" s="11">
        <f>IFERROR(LOOKUP(INT(D8),{0,400,700,1000,1300,1500},{5,4,3,2,1,0}),-1)</f>
        <v>-1</v>
      </c>
      <c r="O8" s="11">
        <f>IFERROR(LOOKUP(INT(E8),{0,400,700,1000,1300,1500},{5,4,3,2,1,0}),-1)</f>
        <v>-1</v>
      </c>
      <c r="P8" s="11">
        <f>IFERROR(LOOKUP(INT(F8),{0,400,700,1000,1300,1500},{5,4,3,2,1,0}),-1)</f>
        <v>-1</v>
      </c>
      <c r="Q8" s="11">
        <f>IFERROR(LOOKUP(INT(G8),{0,400,700,1000,1300,1500},{5,4,3,2,1,0}),-1)</f>
        <v>-1</v>
      </c>
      <c r="R8" s="11">
        <f>IFERROR(LOOKUP(INT(H8),{0,400,700,1000,1300,1500},{5,4,3,2,1,0}),-1)</f>
        <v>-1</v>
      </c>
      <c r="S8" s="11">
        <f>IFERROR(LOOKUP(INT(I8),{0,400,700,1000,1300,1500},{5,4,3,2,1,0}),-1)</f>
        <v>-1</v>
      </c>
      <c r="T8" s="11">
        <f>IFERROR(LOOKUP(INT(J8),{0,400,700,1000,1300,1500},{5,4,3,2,1,0}),-1)</f>
        <v>-1</v>
      </c>
      <c r="U8" s="11">
        <f>IFERROR(LOOKUP(INT(K8),{0,400,700,1000,1300,1500},{5,4,3,2,1,0}),-1)</f>
        <v>-1</v>
      </c>
      <c r="V8" s="11">
        <f>IFERROR(LOOKUP(INT(L8),{0,400,700,1000,1300,1500},{5,4,3,2,1,0}),-1)</f>
        <v>-1</v>
      </c>
    </row>
    <row r="9" spans="1:23" x14ac:dyDescent="0.25">
      <c r="A9" s="4" t="s">
        <v>5</v>
      </c>
      <c r="B9" s="2" t="s">
        <v>7</v>
      </c>
      <c r="C9" s="26">
        <f>IFERROR(AVERAGE('Tech Scores'!C9,'Tech Scores'!C33,'Tech Scores'!C57,'Tech Scores'!#REF!,'Tech Scores'!#REF!,'Tech Scores'!#REF!,'Tech Scores'!#REF!,'Tech Scores'!#REF!,'Tech Scores'!#REF!,'Tech Scores'!#REF!,'Tech Scores'!#REF!,'Tech Scores'!#REF!),-1)</f>
        <v>-1</v>
      </c>
      <c r="D9" s="26">
        <f>IFERROR(AVERAGE('Tech Scores'!D9,'Tech Scores'!D33,'Tech Scores'!D57,'Tech Scores'!#REF!,'Tech Scores'!#REF!,'Tech Scores'!#REF!,'Tech Scores'!#REF!,'Tech Scores'!#REF!,'Tech Scores'!#REF!,'Tech Scores'!#REF!,'Tech Scores'!#REF!,'Tech Scores'!#REF!),-1)</f>
        <v>-1</v>
      </c>
      <c r="E9" s="26">
        <f>IFERROR(AVERAGE('Tech Scores'!E9,'Tech Scores'!E33,'Tech Scores'!E57,'Tech Scores'!#REF!,'Tech Scores'!#REF!,'Tech Scores'!#REF!,'Tech Scores'!#REF!,'Tech Scores'!#REF!,'Tech Scores'!#REF!,'Tech Scores'!#REF!,'Tech Scores'!#REF!,'Tech Scores'!#REF!),-1)</f>
        <v>-1</v>
      </c>
      <c r="F9" s="26">
        <f>IFERROR(AVERAGE('Tech Scores'!F9,'Tech Scores'!F33,'Tech Scores'!F57,'Tech Scores'!#REF!,'Tech Scores'!#REF!,'Tech Scores'!#REF!,'Tech Scores'!#REF!,'Tech Scores'!#REF!,'Tech Scores'!#REF!,'Tech Scores'!#REF!,'Tech Scores'!#REF!,'Tech Scores'!#REF!),-1)</f>
        <v>-1</v>
      </c>
      <c r="G9" s="26">
        <f>IFERROR(AVERAGE('Tech Scores'!G9,'Tech Scores'!G33,'Tech Scores'!G57,'Tech Scores'!#REF!,'Tech Scores'!#REF!,'Tech Scores'!#REF!,'Tech Scores'!#REF!,'Tech Scores'!#REF!,'Tech Scores'!#REF!,'Tech Scores'!#REF!,'Tech Scores'!#REF!,'Tech Scores'!#REF!),-1)</f>
        <v>-1</v>
      </c>
      <c r="H9" s="26">
        <f>IFERROR(AVERAGE('Tech Scores'!#REF!,'Tech Scores'!#REF!,'Tech Scores'!#REF!,'Tech Scores'!#REF!,'Tech Scores'!#REF!,'Tech Scores'!#REF!,'Tech Scores'!#REF!,'Tech Scores'!#REF!,'Tech Scores'!#REF!,'Tech Scores'!#REF!,'Tech Scores'!#REF!,'Tech Scores'!#REF!),-1)</f>
        <v>-1</v>
      </c>
      <c r="I9" s="26">
        <f>IFERROR(AVERAGE('Tech Scores'!#REF!,'Tech Scores'!#REF!,'Tech Scores'!#REF!,'Tech Scores'!#REF!,'Tech Scores'!#REF!,'Tech Scores'!#REF!,'Tech Scores'!#REF!,'Tech Scores'!#REF!,'Tech Scores'!#REF!,'Tech Scores'!#REF!,'Tech Scores'!#REF!,'Tech Scores'!#REF!),-1)</f>
        <v>-1</v>
      </c>
      <c r="J9" s="26">
        <f>IFERROR(AVERAGE('Tech Scores'!#REF!,'Tech Scores'!#REF!,'Tech Scores'!#REF!,'Tech Scores'!#REF!,'Tech Scores'!#REF!,'Tech Scores'!#REF!,'Tech Scores'!#REF!,'Tech Scores'!#REF!,'Tech Scores'!#REF!,'Tech Scores'!#REF!,'Tech Scores'!#REF!,'Tech Scores'!#REF!),-1)</f>
        <v>-1</v>
      </c>
      <c r="K9" s="26">
        <f>IFERROR(AVERAGE('Tech Scores'!#REF!,'Tech Scores'!#REF!,'Tech Scores'!#REF!,'Tech Scores'!#REF!,'Tech Scores'!#REF!,'Tech Scores'!#REF!,'Tech Scores'!#REF!,'Tech Scores'!#REF!,'Tech Scores'!#REF!,'Tech Scores'!#REF!,'Tech Scores'!#REF!,'Tech Scores'!#REF!),-1)</f>
        <v>-1</v>
      </c>
      <c r="L9" s="26">
        <f>IFERROR(AVERAGE('Tech Scores'!#REF!,'Tech Scores'!#REF!,'Tech Scores'!#REF!,'Tech Scores'!#REF!,'Tech Scores'!#REF!,'Tech Scores'!#REF!,'Tech Scores'!#REF!,'Tech Scores'!#REF!,'Tech Scores'!#REF!,'Tech Scores'!#REF!,'Tech Scores'!#REF!,'Tech Scores'!#REF!),-1)</f>
        <v>-1</v>
      </c>
      <c r="M9" s="11">
        <f>IFERROR(LOOKUP(INT(C9),{0,10,25,50,75,100},{5,4,3,2,1,0}),-1)</f>
        <v>-1</v>
      </c>
      <c r="N9" s="11">
        <f>IFERROR(LOOKUP(INT(D9),{0,10,25,50,75,100},{5,4,3,2,1,0}),-1)</f>
        <v>-1</v>
      </c>
      <c r="O9" s="11">
        <f>IFERROR(LOOKUP(INT(E9),{0,10,25,50,75,100},{5,4,3,2,1,0}),-1)</f>
        <v>-1</v>
      </c>
      <c r="P9" s="11">
        <f>IFERROR(LOOKUP(INT(F9),{0,10,25,50,75,100},{5,4,3,2,1,0}),-1)</f>
        <v>-1</v>
      </c>
      <c r="Q9" s="11">
        <f>IFERROR(LOOKUP(INT(G9),{0,10,25,50,75,100},{5,4,3,2,1,0}),-1)</f>
        <v>-1</v>
      </c>
      <c r="R9" s="11">
        <f>IFERROR(LOOKUP(INT(H9),{0,10,25,50,75,100},{5,4,3,2,1,0}),-1)</f>
        <v>-1</v>
      </c>
      <c r="S9" s="11">
        <f>IFERROR(LOOKUP(INT(I9),{0,10,25,50,75,100},{5,4,3,2,1,0}),-1)</f>
        <v>-1</v>
      </c>
      <c r="T9" s="11">
        <f>IFERROR(LOOKUP(INT(J9),{0,10,25,50,75,100},{5,4,3,2,1,0}),-1)</f>
        <v>-1</v>
      </c>
      <c r="U9" s="11">
        <f>IFERROR(LOOKUP(INT(K9),{0,10,25,50,75,100},{5,4,3,2,1,0}),-1)</f>
        <v>-1</v>
      </c>
      <c r="V9" s="11">
        <f>IFERROR(LOOKUP(INT(L9),{0,10,25,50,75,100},{5,4,3,2,1,0}),-1)</f>
        <v>-1</v>
      </c>
    </row>
    <row r="10" spans="1:23" x14ac:dyDescent="0.25">
      <c r="A10" s="4" t="s">
        <v>5</v>
      </c>
      <c r="B10" s="2" t="s">
        <v>8</v>
      </c>
      <c r="C10" s="26">
        <f>IFERROR(AVERAGE('Tech Scores'!C10,'Tech Scores'!C34,'Tech Scores'!C58,'Tech Scores'!#REF!,'Tech Scores'!#REF!,'Tech Scores'!#REF!,'Tech Scores'!#REF!,'Tech Scores'!#REF!,'Tech Scores'!#REF!,'Tech Scores'!#REF!,'Tech Scores'!#REF!,'Tech Scores'!#REF!),-1)</f>
        <v>-1</v>
      </c>
      <c r="D10" s="26">
        <f>IFERROR(AVERAGE('Tech Scores'!D10,'Tech Scores'!D34,'Tech Scores'!D58,'Tech Scores'!#REF!,'Tech Scores'!#REF!,'Tech Scores'!#REF!,'Tech Scores'!#REF!,'Tech Scores'!#REF!,'Tech Scores'!#REF!,'Tech Scores'!#REF!,'Tech Scores'!#REF!,'Tech Scores'!#REF!),-1)</f>
        <v>-1</v>
      </c>
      <c r="E10" s="26">
        <f>IFERROR(AVERAGE('Tech Scores'!E10,'Tech Scores'!E34,'Tech Scores'!E58,'Tech Scores'!#REF!,'Tech Scores'!#REF!,'Tech Scores'!#REF!,'Tech Scores'!#REF!,'Tech Scores'!#REF!,'Tech Scores'!#REF!,'Tech Scores'!#REF!,'Tech Scores'!#REF!,'Tech Scores'!#REF!),-1)</f>
        <v>-1</v>
      </c>
      <c r="F10" s="26">
        <f>IFERROR(AVERAGE('Tech Scores'!F10,'Tech Scores'!F34,'Tech Scores'!F58,'Tech Scores'!#REF!,'Tech Scores'!#REF!,'Tech Scores'!#REF!,'Tech Scores'!#REF!,'Tech Scores'!#REF!,'Tech Scores'!#REF!,'Tech Scores'!#REF!,'Tech Scores'!#REF!,'Tech Scores'!#REF!),-1)</f>
        <v>-1</v>
      </c>
      <c r="G10" s="26">
        <f>IFERROR(AVERAGE('Tech Scores'!G10,'Tech Scores'!G34,'Tech Scores'!G58,'Tech Scores'!#REF!,'Tech Scores'!#REF!,'Tech Scores'!#REF!,'Tech Scores'!#REF!,'Tech Scores'!#REF!,'Tech Scores'!#REF!,'Tech Scores'!#REF!,'Tech Scores'!#REF!,'Tech Scores'!#REF!),-1)</f>
        <v>-1</v>
      </c>
      <c r="H10" s="26">
        <f>IFERROR(AVERAGE('Tech Scores'!#REF!,'Tech Scores'!#REF!,'Tech Scores'!#REF!,'Tech Scores'!#REF!,'Tech Scores'!#REF!,'Tech Scores'!#REF!,'Tech Scores'!#REF!,'Tech Scores'!#REF!,'Tech Scores'!#REF!,'Tech Scores'!#REF!,'Tech Scores'!#REF!,'Tech Scores'!#REF!),-1)</f>
        <v>-1</v>
      </c>
      <c r="I10" s="26">
        <f>IFERROR(AVERAGE('Tech Scores'!#REF!,'Tech Scores'!#REF!,'Tech Scores'!#REF!,'Tech Scores'!#REF!,'Tech Scores'!#REF!,'Tech Scores'!#REF!,'Tech Scores'!#REF!,'Tech Scores'!#REF!,'Tech Scores'!#REF!,'Tech Scores'!#REF!,'Tech Scores'!#REF!,'Tech Scores'!#REF!),-1)</f>
        <v>-1</v>
      </c>
      <c r="J10" s="26">
        <f>IFERROR(AVERAGE('Tech Scores'!#REF!,'Tech Scores'!#REF!,'Tech Scores'!#REF!,'Tech Scores'!#REF!,'Tech Scores'!#REF!,'Tech Scores'!#REF!,'Tech Scores'!#REF!,'Tech Scores'!#REF!,'Tech Scores'!#REF!,'Tech Scores'!#REF!,'Tech Scores'!#REF!,'Tech Scores'!#REF!),-1)</f>
        <v>-1</v>
      </c>
      <c r="K10" s="26">
        <f>IFERROR(AVERAGE('Tech Scores'!#REF!,'Tech Scores'!#REF!,'Tech Scores'!#REF!,'Tech Scores'!#REF!,'Tech Scores'!#REF!,'Tech Scores'!#REF!,'Tech Scores'!#REF!,'Tech Scores'!#REF!,'Tech Scores'!#REF!,'Tech Scores'!#REF!,'Tech Scores'!#REF!,'Tech Scores'!#REF!),-1)</f>
        <v>-1</v>
      </c>
      <c r="L10" s="26">
        <f>IFERROR(AVERAGE('Tech Scores'!#REF!,'Tech Scores'!#REF!,'Tech Scores'!#REF!,'Tech Scores'!#REF!,'Tech Scores'!#REF!,'Tech Scores'!#REF!,'Tech Scores'!#REF!,'Tech Scores'!#REF!,'Tech Scores'!#REF!,'Tech Scores'!#REF!,'Tech Scores'!#REF!,'Tech Scores'!#REF!),-1)</f>
        <v>-1</v>
      </c>
      <c r="M10" s="11">
        <f>IFERROR(LOOKUP(INT(C10),{0,5,10,20,30,40},{5,4,3,2,1,0}),-1)</f>
        <v>-1</v>
      </c>
      <c r="N10" s="11">
        <f>IFERROR(LOOKUP(INT(D10),{0,5,10,20,30,40},{5,4,3,2,1,0}),-1)</f>
        <v>-1</v>
      </c>
      <c r="O10" s="11">
        <f>IFERROR(LOOKUP(INT(E10),{0,5,10,20,30,40},{5,4,3,2,1,0}),-1)</f>
        <v>-1</v>
      </c>
      <c r="P10" s="11">
        <f>IFERROR(LOOKUP(INT(F10),{0,5,10,20,30,40},{5,4,3,2,1,0}),-1)</f>
        <v>-1</v>
      </c>
      <c r="Q10" s="11">
        <f>IFERROR(LOOKUP(INT(G10),{0,5,10,20,30,40},{5,4,3,2,1,0}),-1)</f>
        <v>-1</v>
      </c>
      <c r="R10" s="11">
        <f>IFERROR(LOOKUP(INT(H10),{0,5,10,20,30,40},{5,4,3,2,1,0}),-1)</f>
        <v>-1</v>
      </c>
      <c r="S10" s="11">
        <f>IFERROR(LOOKUP(INT(I10),{0,5,10,20,30,40},{5,4,3,2,1,0}),-1)</f>
        <v>-1</v>
      </c>
      <c r="T10" s="11">
        <f>IFERROR(LOOKUP(INT(J10),{0,5,10,20,30,40},{5,4,3,2,1,0}),-1)</f>
        <v>-1</v>
      </c>
      <c r="U10" s="11">
        <f>IFERROR(LOOKUP(INT(K10),{0,5,10,20,30,40},{5,4,3,2,1,0}),-1)</f>
        <v>-1</v>
      </c>
      <c r="V10" s="11">
        <f>IFERROR(LOOKUP(INT(L10),{0,5,10,20,30,40},{5,4,3,2,1,0}),-1)</f>
        <v>-1</v>
      </c>
    </row>
    <row r="11" spans="1:23" ht="30" x14ac:dyDescent="0.25">
      <c r="A11" s="4" t="s">
        <v>5</v>
      </c>
      <c r="B11" s="2" t="s">
        <v>9</v>
      </c>
      <c r="C11" s="26">
        <f>IFERROR(AVERAGE('Tech Scores'!C11,'Tech Scores'!C35,'Tech Scores'!C59,'Tech Scores'!#REF!,'Tech Scores'!#REF!,'Tech Scores'!#REF!,'Tech Scores'!#REF!,'Tech Scores'!#REF!,'Tech Scores'!#REF!,'Tech Scores'!#REF!,'Tech Scores'!#REF!,'Tech Scores'!#REF!),-1)</f>
        <v>-1</v>
      </c>
      <c r="D11" s="26">
        <f>IFERROR(AVERAGE('Tech Scores'!D11,'Tech Scores'!D35,'Tech Scores'!D59,'Tech Scores'!#REF!,'Tech Scores'!#REF!,'Tech Scores'!#REF!,'Tech Scores'!#REF!,'Tech Scores'!#REF!,'Tech Scores'!#REF!,'Tech Scores'!#REF!,'Tech Scores'!#REF!,'Tech Scores'!#REF!),-1)</f>
        <v>-1</v>
      </c>
      <c r="E11" s="26">
        <f>IFERROR(AVERAGE('Tech Scores'!E11,'Tech Scores'!E35,'Tech Scores'!E59,'Tech Scores'!#REF!,'Tech Scores'!#REF!,'Tech Scores'!#REF!,'Tech Scores'!#REF!,'Tech Scores'!#REF!,'Tech Scores'!#REF!,'Tech Scores'!#REF!,'Tech Scores'!#REF!,'Tech Scores'!#REF!),-1)</f>
        <v>-1</v>
      </c>
      <c r="F11" s="26">
        <f>IFERROR(AVERAGE('Tech Scores'!F11,'Tech Scores'!F35,'Tech Scores'!F59,'Tech Scores'!#REF!,'Tech Scores'!#REF!,'Tech Scores'!#REF!,'Tech Scores'!#REF!,'Tech Scores'!#REF!,'Tech Scores'!#REF!,'Tech Scores'!#REF!,'Tech Scores'!#REF!,'Tech Scores'!#REF!),-1)</f>
        <v>-1</v>
      </c>
      <c r="G11" s="26">
        <f>IFERROR(AVERAGE('Tech Scores'!G11,'Tech Scores'!G35,'Tech Scores'!G59,'Tech Scores'!#REF!,'Tech Scores'!#REF!,'Tech Scores'!#REF!,'Tech Scores'!#REF!,'Tech Scores'!#REF!,'Tech Scores'!#REF!,'Tech Scores'!#REF!,'Tech Scores'!#REF!,'Tech Scores'!#REF!),-1)</f>
        <v>-1</v>
      </c>
      <c r="H11" s="26">
        <f>IFERROR(AVERAGE('Tech Scores'!#REF!,'Tech Scores'!#REF!,'Tech Scores'!#REF!,'Tech Scores'!#REF!,'Tech Scores'!#REF!,'Tech Scores'!#REF!,'Tech Scores'!#REF!,'Tech Scores'!#REF!,'Tech Scores'!#REF!,'Tech Scores'!#REF!,'Tech Scores'!#REF!,'Tech Scores'!#REF!),-1)</f>
        <v>-1</v>
      </c>
      <c r="I11" s="26">
        <f>IFERROR(AVERAGE('Tech Scores'!#REF!,'Tech Scores'!#REF!,'Tech Scores'!#REF!,'Tech Scores'!#REF!,'Tech Scores'!#REF!,'Tech Scores'!#REF!,'Tech Scores'!#REF!,'Tech Scores'!#REF!,'Tech Scores'!#REF!,'Tech Scores'!#REF!,'Tech Scores'!#REF!,'Tech Scores'!#REF!),-1)</f>
        <v>-1</v>
      </c>
      <c r="J11" s="26">
        <f>IFERROR(AVERAGE('Tech Scores'!#REF!,'Tech Scores'!#REF!,'Tech Scores'!#REF!,'Tech Scores'!#REF!,'Tech Scores'!#REF!,'Tech Scores'!#REF!,'Tech Scores'!#REF!,'Tech Scores'!#REF!,'Tech Scores'!#REF!,'Tech Scores'!#REF!,'Tech Scores'!#REF!,'Tech Scores'!#REF!),-1)</f>
        <v>-1</v>
      </c>
      <c r="K11" s="26">
        <f>IFERROR(AVERAGE('Tech Scores'!#REF!,'Tech Scores'!#REF!,'Tech Scores'!#REF!,'Tech Scores'!#REF!,'Tech Scores'!#REF!,'Tech Scores'!#REF!,'Tech Scores'!#REF!,'Tech Scores'!#REF!,'Tech Scores'!#REF!,'Tech Scores'!#REF!,'Tech Scores'!#REF!,'Tech Scores'!#REF!),-1)</f>
        <v>-1</v>
      </c>
      <c r="L11" s="26">
        <f>IFERROR(AVERAGE('Tech Scores'!#REF!,'Tech Scores'!#REF!,'Tech Scores'!#REF!,'Tech Scores'!#REF!,'Tech Scores'!#REF!,'Tech Scores'!#REF!,'Tech Scores'!#REF!,'Tech Scores'!#REF!,'Tech Scores'!#REF!,'Tech Scores'!#REF!,'Tech Scores'!#REF!,'Tech Scores'!#REF!),-1)</f>
        <v>-1</v>
      </c>
      <c r="M11" s="11">
        <f>IFERROR(LOOKUP(INT(C11),{0,5,10,20,30,40},{5,4,3,2,1,0}),-1)</f>
        <v>-1</v>
      </c>
      <c r="N11" s="11">
        <f>IFERROR(LOOKUP(INT(D11),{0,5,10,20,30,40},{5,4,3,2,1,0}),-1)</f>
        <v>-1</v>
      </c>
      <c r="O11" s="11">
        <f>IFERROR(LOOKUP(INT(E11),{0,5,10,20,30,40},{5,4,3,2,1,0}),-1)</f>
        <v>-1</v>
      </c>
      <c r="P11" s="11">
        <f>IFERROR(LOOKUP(INT(F11),{0,5,10,20,30,40},{5,4,3,2,1,0}),-1)</f>
        <v>-1</v>
      </c>
      <c r="Q11" s="11">
        <f>IFERROR(LOOKUP(INT(G11),{0,5,10,20,30,40},{5,4,3,2,1,0}),-1)</f>
        <v>-1</v>
      </c>
      <c r="R11" s="11">
        <f>IFERROR(LOOKUP(INT(H11),{0,5,10,20,30,40},{5,4,3,2,1,0}),-1)</f>
        <v>-1</v>
      </c>
      <c r="S11" s="11">
        <f>IFERROR(LOOKUP(INT(I11),{0,5,10,20,30,40},{5,4,3,2,1,0}),-1)</f>
        <v>-1</v>
      </c>
      <c r="T11" s="11">
        <f>IFERROR(LOOKUP(INT(J11),{0,5,10,20,30,40},{5,4,3,2,1,0}),-1)</f>
        <v>-1</v>
      </c>
      <c r="U11" s="11">
        <f>IFERROR(LOOKUP(INT(K11),{0,5,10,20,30,40},{5,4,3,2,1,0}),-1)</f>
        <v>-1</v>
      </c>
      <c r="V11" s="11">
        <f>IFERROR(LOOKUP(INT(L11),{0,5,10,20,30,40},{5,4,3,2,1,0}),-1)</f>
        <v>-1</v>
      </c>
    </row>
    <row r="12" spans="1:23" ht="30" x14ac:dyDescent="0.25">
      <c r="A12" s="4" t="s">
        <v>5</v>
      </c>
      <c r="B12" s="19" t="s">
        <v>40</v>
      </c>
      <c r="C12" s="26">
        <f>IFERROR(AVERAGE('Tech Scores'!C12,'Tech Scores'!C36,'Tech Scores'!C60,'Tech Scores'!#REF!,'Tech Scores'!#REF!,'Tech Scores'!#REF!,'Tech Scores'!#REF!,'Tech Scores'!#REF!,'Tech Scores'!#REF!,'Tech Scores'!#REF!,'Tech Scores'!#REF!,'Tech Scores'!#REF!),-1)</f>
        <v>-1</v>
      </c>
      <c r="D12" s="26">
        <f>IFERROR(AVERAGE('Tech Scores'!D12,'Tech Scores'!D36,'Tech Scores'!D60,'Tech Scores'!#REF!,'Tech Scores'!#REF!,'Tech Scores'!#REF!,'Tech Scores'!#REF!,'Tech Scores'!#REF!,'Tech Scores'!#REF!,'Tech Scores'!#REF!,'Tech Scores'!#REF!,'Tech Scores'!#REF!),-1)</f>
        <v>-1</v>
      </c>
      <c r="E12" s="26">
        <f>IFERROR(AVERAGE('Tech Scores'!E12,'Tech Scores'!E36,'Tech Scores'!E60,'Tech Scores'!#REF!,'Tech Scores'!#REF!,'Tech Scores'!#REF!,'Tech Scores'!#REF!,'Tech Scores'!#REF!,'Tech Scores'!#REF!,'Tech Scores'!#REF!,'Tech Scores'!#REF!,'Tech Scores'!#REF!),-1)</f>
        <v>-1</v>
      </c>
      <c r="F12" s="26">
        <f>IFERROR(AVERAGE('Tech Scores'!F12,'Tech Scores'!F36,'Tech Scores'!F60,'Tech Scores'!#REF!,'Tech Scores'!#REF!,'Tech Scores'!#REF!,'Tech Scores'!#REF!,'Tech Scores'!#REF!,'Tech Scores'!#REF!,'Tech Scores'!#REF!,'Tech Scores'!#REF!,'Tech Scores'!#REF!),-1)</f>
        <v>-1</v>
      </c>
      <c r="G12" s="26">
        <f>IFERROR(AVERAGE('Tech Scores'!G12,'Tech Scores'!G36,'Tech Scores'!G60,'Tech Scores'!#REF!,'Tech Scores'!#REF!,'Tech Scores'!#REF!,'Tech Scores'!#REF!,'Tech Scores'!#REF!,'Tech Scores'!#REF!,'Tech Scores'!#REF!,'Tech Scores'!#REF!,'Tech Scores'!#REF!),-1)</f>
        <v>-1</v>
      </c>
      <c r="H12" s="26">
        <f>IFERROR(AVERAGE('Tech Scores'!#REF!,'Tech Scores'!#REF!,'Tech Scores'!#REF!,'Tech Scores'!#REF!,'Tech Scores'!#REF!,'Tech Scores'!#REF!,'Tech Scores'!#REF!,'Tech Scores'!#REF!,'Tech Scores'!#REF!,'Tech Scores'!#REF!,'Tech Scores'!#REF!,'Tech Scores'!#REF!),-1)</f>
        <v>-1</v>
      </c>
      <c r="I12" s="26">
        <f>IFERROR(AVERAGE('Tech Scores'!#REF!,'Tech Scores'!#REF!,'Tech Scores'!#REF!,'Tech Scores'!#REF!,'Tech Scores'!#REF!,'Tech Scores'!#REF!,'Tech Scores'!#REF!,'Tech Scores'!#REF!,'Tech Scores'!#REF!,'Tech Scores'!#REF!,'Tech Scores'!#REF!,'Tech Scores'!#REF!),-1)</f>
        <v>-1</v>
      </c>
      <c r="J12" s="26">
        <f>IFERROR(AVERAGE('Tech Scores'!#REF!,'Tech Scores'!#REF!,'Tech Scores'!#REF!,'Tech Scores'!#REF!,'Tech Scores'!#REF!,'Tech Scores'!#REF!,'Tech Scores'!#REF!,'Tech Scores'!#REF!,'Tech Scores'!#REF!,'Tech Scores'!#REF!,'Tech Scores'!#REF!,'Tech Scores'!#REF!),-1)</f>
        <v>-1</v>
      </c>
      <c r="K12" s="26">
        <f>IFERROR(AVERAGE('Tech Scores'!#REF!,'Tech Scores'!#REF!,'Tech Scores'!#REF!,'Tech Scores'!#REF!,'Tech Scores'!#REF!,'Tech Scores'!#REF!,'Tech Scores'!#REF!,'Tech Scores'!#REF!,'Tech Scores'!#REF!,'Tech Scores'!#REF!,'Tech Scores'!#REF!,'Tech Scores'!#REF!),-1)</f>
        <v>-1</v>
      </c>
      <c r="L12" s="26">
        <f>IFERROR(AVERAGE('Tech Scores'!#REF!,'Tech Scores'!#REF!,'Tech Scores'!#REF!,'Tech Scores'!#REF!,'Tech Scores'!#REF!,'Tech Scores'!#REF!,'Tech Scores'!#REF!,'Tech Scores'!#REF!,'Tech Scores'!#REF!,'Tech Scores'!#REF!,'Tech Scores'!#REF!,'Tech Scores'!#REF!),-1)</f>
        <v>-1</v>
      </c>
      <c r="M12" s="11">
        <f>IFERROR(LOOKUP(INT(C12),{0,1,2,4,7,10},{5,4,3,2,1,0}),-1)</f>
        <v>-1</v>
      </c>
      <c r="N12" s="11">
        <f>IFERROR(LOOKUP(INT(D12),{0,1,2,4,7,10},{5,4,3,2,1,0}),-1)</f>
        <v>-1</v>
      </c>
      <c r="O12" s="11">
        <f>IFERROR(LOOKUP(INT(E12),{0,1,2,4,7,10},{5,4,3,2,1,0}),-1)</f>
        <v>-1</v>
      </c>
      <c r="P12" s="11">
        <f>IFERROR(LOOKUP(INT(F12),{0,1,2,4,7,10},{5,4,3,2,1,0}),-1)</f>
        <v>-1</v>
      </c>
      <c r="Q12" s="11">
        <f>IFERROR(LOOKUP(INT(G12),{0,1,2,4,7,10},{5,4,3,2,1,0}),-1)</f>
        <v>-1</v>
      </c>
      <c r="R12" s="11">
        <f>IFERROR(LOOKUP(INT(H12),{0,1,2,4,7,10},{5,4,3,2,1,0}),-1)</f>
        <v>-1</v>
      </c>
      <c r="S12" s="11">
        <f>IFERROR(LOOKUP(INT(I12),{0,1,2,4,7,10},{5,4,3,2,1,0}),-1)</f>
        <v>-1</v>
      </c>
      <c r="T12" s="11">
        <f>IFERROR(LOOKUP(INT(J12),{0,1,2,4,7,10},{5,4,3,2,1,0}),-1)</f>
        <v>-1</v>
      </c>
      <c r="U12" s="11">
        <f>IFERROR(LOOKUP(INT(K12),{0,1,2,4,7,10},{5,4,3,2,1,0}),-1)</f>
        <v>-1</v>
      </c>
      <c r="V12" s="11">
        <f>IFERROR(LOOKUP(INT(L12),{0,1,2,4,7,10},{5,4,3,2,1,0}),-1)</f>
        <v>-1</v>
      </c>
    </row>
    <row r="13" spans="1:23" x14ac:dyDescent="0.25">
      <c r="A13" s="6">
        <v>53</v>
      </c>
      <c r="B13" s="2" t="s">
        <v>11</v>
      </c>
      <c r="C13" s="26">
        <f>IFERROR(AVERAGE('Tech Scores'!C13,'Tech Scores'!C37,'Tech Scores'!C61,'Tech Scores'!#REF!,'Tech Scores'!#REF!,'Tech Scores'!#REF!,'Tech Scores'!#REF!,'Tech Scores'!#REF!,'Tech Scores'!#REF!,'Tech Scores'!#REF!,'Tech Scores'!#REF!,'Tech Scores'!#REF!),-1)</f>
        <v>-1</v>
      </c>
      <c r="D13" s="26">
        <f>IFERROR(AVERAGE('Tech Scores'!D13,'Tech Scores'!D37,'Tech Scores'!D61,'Tech Scores'!#REF!,'Tech Scores'!#REF!,'Tech Scores'!#REF!,'Tech Scores'!#REF!,'Tech Scores'!#REF!,'Tech Scores'!#REF!,'Tech Scores'!#REF!,'Tech Scores'!#REF!,'Tech Scores'!#REF!),-1)</f>
        <v>-1</v>
      </c>
      <c r="E13" s="26">
        <f>IFERROR(AVERAGE('Tech Scores'!E13,'Tech Scores'!E37,'Tech Scores'!E61,'Tech Scores'!#REF!,'Tech Scores'!#REF!,'Tech Scores'!#REF!,'Tech Scores'!#REF!,'Tech Scores'!#REF!,'Tech Scores'!#REF!,'Tech Scores'!#REF!,'Tech Scores'!#REF!,'Tech Scores'!#REF!),-1)</f>
        <v>-1</v>
      </c>
      <c r="F13" s="26">
        <f>IFERROR(AVERAGE('Tech Scores'!F13,'Tech Scores'!F37,'Tech Scores'!F61,'Tech Scores'!#REF!,'Tech Scores'!#REF!,'Tech Scores'!#REF!,'Tech Scores'!#REF!,'Tech Scores'!#REF!,'Tech Scores'!#REF!,'Tech Scores'!#REF!,'Tech Scores'!#REF!,'Tech Scores'!#REF!),-1)</f>
        <v>-1</v>
      </c>
      <c r="G13" s="26">
        <f>IFERROR(AVERAGE('Tech Scores'!G13,'Tech Scores'!G37,'Tech Scores'!G61,'Tech Scores'!#REF!,'Tech Scores'!#REF!,'Tech Scores'!#REF!,'Tech Scores'!#REF!,'Tech Scores'!#REF!,'Tech Scores'!#REF!,'Tech Scores'!#REF!,'Tech Scores'!#REF!,'Tech Scores'!#REF!),-1)</f>
        <v>-1</v>
      </c>
      <c r="H13" s="26">
        <f>IFERROR(AVERAGE('Tech Scores'!#REF!,'Tech Scores'!#REF!,'Tech Scores'!#REF!,'Tech Scores'!#REF!,'Tech Scores'!#REF!,'Tech Scores'!#REF!,'Tech Scores'!#REF!,'Tech Scores'!#REF!,'Tech Scores'!#REF!,'Tech Scores'!#REF!,'Tech Scores'!#REF!,'Tech Scores'!#REF!),-1)</f>
        <v>-1</v>
      </c>
      <c r="I13" s="26">
        <f>IFERROR(AVERAGE('Tech Scores'!#REF!,'Tech Scores'!#REF!,'Tech Scores'!#REF!,'Tech Scores'!#REF!,'Tech Scores'!#REF!,'Tech Scores'!#REF!,'Tech Scores'!#REF!,'Tech Scores'!#REF!,'Tech Scores'!#REF!,'Tech Scores'!#REF!,'Tech Scores'!#REF!,'Tech Scores'!#REF!),-1)</f>
        <v>-1</v>
      </c>
      <c r="J13" s="26">
        <f>IFERROR(AVERAGE('Tech Scores'!#REF!,'Tech Scores'!#REF!,'Tech Scores'!#REF!,'Tech Scores'!#REF!,'Tech Scores'!#REF!,'Tech Scores'!#REF!,'Tech Scores'!#REF!,'Tech Scores'!#REF!,'Tech Scores'!#REF!,'Tech Scores'!#REF!,'Tech Scores'!#REF!,'Tech Scores'!#REF!),-1)</f>
        <v>-1</v>
      </c>
      <c r="K13" s="26">
        <f>IFERROR(AVERAGE('Tech Scores'!#REF!,'Tech Scores'!#REF!,'Tech Scores'!#REF!,'Tech Scores'!#REF!,'Tech Scores'!#REF!,'Tech Scores'!#REF!,'Tech Scores'!#REF!,'Tech Scores'!#REF!,'Tech Scores'!#REF!,'Tech Scores'!#REF!,'Tech Scores'!#REF!,'Tech Scores'!#REF!),-1)</f>
        <v>-1</v>
      </c>
      <c r="L13" s="26">
        <f>IFERROR(AVERAGE('Tech Scores'!#REF!,'Tech Scores'!#REF!,'Tech Scores'!#REF!,'Tech Scores'!#REF!,'Tech Scores'!#REF!,'Tech Scores'!#REF!,'Tech Scores'!#REF!,'Tech Scores'!#REF!,'Tech Scores'!#REF!,'Tech Scores'!#REF!,'Tech Scores'!#REF!,'Tech Scores'!#REF!),-1)</f>
        <v>-1</v>
      </c>
    </row>
    <row r="14" spans="1:23" x14ac:dyDescent="0.25">
      <c r="A14" s="6">
        <v>51</v>
      </c>
      <c r="B14" s="2" t="s">
        <v>12</v>
      </c>
      <c r="C14" s="26">
        <f>IFERROR(AVERAGE('Tech Scores'!C14,'Tech Scores'!C38,'Tech Scores'!C62,'Tech Scores'!#REF!,'Tech Scores'!#REF!,'Tech Scores'!#REF!,'Tech Scores'!#REF!,'Tech Scores'!#REF!,'Tech Scores'!#REF!,'Tech Scores'!#REF!,'Tech Scores'!#REF!,'Tech Scores'!#REF!),-1)</f>
        <v>-1</v>
      </c>
      <c r="D14" s="26">
        <f>IFERROR(AVERAGE('Tech Scores'!D14,'Tech Scores'!D38,'Tech Scores'!D62,'Tech Scores'!#REF!,'Tech Scores'!#REF!,'Tech Scores'!#REF!,'Tech Scores'!#REF!,'Tech Scores'!#REF!,'Tech Scores'!#REF!,'Tech Scores'!#REF!,'Tech Scores'!#REF!,'Tech Scores'!#REF!),-1)</f>
        <v>-1</v>
      </c>
      <c r="E14" s="26">
        <f>IFERROR(AVERAGE('Tech Scores'!E14,'Tech Scores'!E38,'Tech Scores'!E62,'Tech Scores'!#REF!,'Tech Scores'!#REF!,'Tech Scores'!#REF!,'Tech Scores'!#REF!,'Tech Scores'!#REF!,'Tech Scores'!#REF!,'Tech Scores'!#REF!,'Tech Scores'!#REF!,'Tech Scores'!#REF!),-1)</f>
        <v>-1</v>
      </c>
      <c r="F14" s="26">
        <f>IFERROR(AVERAGE('Tech Scores'!F14,'Tech Scores'!F38,'Tech Scores'!F62,'Tech Scores'!#REF!,'Tech Scores'!#REF!,'Tech Scores'!#REF!,'Tech Scores'!#REF!,'Tech Scores'!#REF!,'Tech Scores'!#REF!,'Tech Scores'!#REF!,'Tech Scores'!#REF!,'Tech Scores'!#REF!),-1)</f>
        <v>-1</v>
      </c>
      <c r="G14" s="26">
        <f>IFERROR(AVERAGE('Tech Scores'!G14,'Tech Scores'!G38,'Tech Scores'!G62,'Tech Scores'!#REF!,'Tech Scores'!#REF!,'Tech Scores'!#REF!,'Tech Scores'!#REF!,'Tech Scores'!#REF!,'Tech Scores'!#REF!,'Tech Scores'!#REF!,'Tech Scores'!#REF!,'Tech Scores'!#REF!),-1)</f>
        <v>-1</v>
      </c>
      <c r="H14" s="26">
        <f>IFERROR(AVERAGE('Tech Scores'!#REF!,'Tech Scores'!#REF!,'Tech Scores'!#REF!,'Tech Scores'!#REF!,'Tech Scores'!#REF!,'Tech Scores'!#REF!,'Tech Scores'!#REF!,'Tech Scores'!#REF!,'Tech Scores'!#REF!,'Tech Scores'!#REF!,'Tech Scores'!#REF!,'Tech Scores'!#REF!),-1)</f>
        <v>-1</v>
      </c>
      <c r="I14" s="26">
        <f>IFERROR(AVERAGE('Tech Scores'!#REF!,'Tech Scores'!#REF!,'Tech Scores'!#REF!,'Tech Scores'!#REF!,'Tech Scores'!#REF!,'Tech Scores'!#REF!,'Tech Scores'!#REF!,'Tech Scores'!#REF!,'Tech Scores'!#REF!,'Tech Scores'!#REF!,'Tech Scores'!#REF!,'Tech Scores'!#REF!),-1)</f>
        <v>-1</v>
      </c>
      <c r="J14" s="26">
        <f>IFERROR(AVERAGE('Tech Scores'!#REF!,'Tech Scores'!#REF!,'Tech Scores'!#REF!,'Tech Scores'!#REF!,'Tech Scores'!#REF!,'Tech Scores'!#REF!,'Tech Scores'!#REF!,'Tech Scores'!#REF!,'Tech Scores'!#REF!,'Tech Scores'!#REF!,'Tech Scores'!#REF!,'Tech Scores'!#REF!),-1)</f>
        <v>-1</v>
      </c>
      <c r="K14" s="26">
        <f>IFERROR(AVERAGE('Tech Scores'!#REF!,'Tech Scores'!#REF!,'Tech Scores'!#REF!,'Tech Scores'!#REF!,'Tech Scores'!#REF!,'Tech Scores'!#REF!,'Tech Scores'!#REF!,'Tech Scores'!#REF!,'Tech Scores'!#REF!,'Tech Scores'!#REF!,'Tech Scores'!#REF!,'Tech Scores'!#REF!),-1)</f>
        <v>-1</v>
      </c>
      <c r="L14" s="26">
        <f>IFERROR(AVERAGE('Tech Scores'!#REF!,'Tech Scores'!#REF!,'Tech Scores'!#REF!,'Tech Scores'!#REF!,'Tech Scores'!#REF!,'Tech Scores'!#REF!,'Tech Scores'!#REF!,'Tech Scores'!#REF!,'Tech Scores'!#REF!,'Tech Scores'!#REF!,'Tech Scores'!#REF!,'Tech Scores'!#REF!),-1)</f>
        <v>-1</v>
      </c>
    </row>
    <row r="15" spans="1:23" ht="30" x14ac:dyDescent="0.25">
      <c r="A15" s="6">
        <v>95</v>
      </c>
      <c r="B15" s="2" t="s">
        <v>13</v>
      </c>
      <c r="C15" s="26">
        <f>IFERROR(AVERAGE('Tech Scores'!C15,'Tech Scores'!C39,'Tech Scores'!C63,'Tech Scores'!#REF!,'Tech Scores'!#REF!,'Tech Scores'!#REF!,'Tech Scores'!#REF!,'Tech Scores'!#REF!,'Tech Scores'!#REF!,'Tech Scores'!#REF!,'Tech Scores'!#REF!,'Tech Scores'!#REF!),-1)</f>
        <v>-1</v>
      </c>
      <c r="D15" s="26">
        <f>IFERROR(AVERAGE('Tech Scores'!D15,'Tech Scores'!D39,'Tech Scores'!D63,'Tech Scores'!#REF!,'Tech Scores'!#REF!,'Tech Scores'!#REF!,'Tech Scores'!#REF!,'Tech Scores'!#REF!,'Tech Scores'!#REF!,'Tech Scores'!#REF!,'Tech Scores'!#REF!,'Tech Scores'!#REF!),-1)</f>
        <v>-1</v>
      </c>
      <c r="E15" s="26">
        <f>IFERROR(AVERAGE('Tech Scores'!E15,'Tech Scores'!E39,'Tech Scores'!E63,'Tech Scores'!#REF!,'Tech Scores'!#REF!,'Tech Scores'!#REF!,'Tech Scores'!#REF!,'Tech Scores'!#REF!,'Tech Scores'!#REF!,'Tech Scores'!#REF!,'Tech Scores'!#REF!,'Tech Scores'!#REF!),-1)</f>
        <v>-1</v>
      </c>
      <c r="F15" s="26">
        <f>IFERROR(AVERAGE('Tech Scores'!F15,'Tech Scores'!F39,'Tech Scores'!F63,'Tech Scores'!#REF!,'Tech Scores'!#REF!,'Tech Scores'!#REF!,'Tech Scores'!#REF!,'Tech Scores'!#REF!,'Tech Scores'!#REF!,'Tech Scores'!#REF!,'Tech Scores'!#REF!,'Tech Scores'!#REF!),-1)</f>
        <v>-1</v>
      </c>
      <c r="G15" s="26">
        <f>IFERROR(AVERAGE('Tech Scores'!G15,'Tech Scores'!G39,'Tech Scores'!G63,'Tech Scores'!#REF!,'Tech Scores'!#REF!,'Tech Scores'!#REF!,'Tech Scores'!#REF!,'Tech Scores'!#REF!,'Tech Scores'!#REF!,'Tech Scores'!#REF!,'Tech Scores'!#REF!,'Tech Scores'!#REF!),-1)</f>
        <v>-1</v>
      </c>
      <c r="H15" s="26">
        <f>IFERROR(AVERAGE('Tech Scores'!#REF!,'Tech Scores'!#REF!,'Tech Scores'!#REF!,'Tech Scores'!#REF!,'Tech Scores'!#REF!,'Tech Scores'!#REF!,'Tech Scores'!#REF!,'Tech Scores'!#REF!,'Tech Scores'!#REF!,'Tech Scores'!#REF!,'Tech Scores'!#REF!,'Tech Scores'!#REF!),-1)</f>
        <v>-1</v>
      </c>
      <c r="I15" s="26">
        <f>IFERROR(AVERAGE('Tech Scores'!#REF!,'Tech Scores'!#REF!,'Tech Scores'!#REF!,'Tech Scores'!#REF!,'Tech Scores'!#REF!,'Tech Scores'!#REF!,'Tech Scores'!#REF!,'Tech Scores'!#REF!,'Tech Scores'!#REF!,'Tech Scores'!#REF!,'Tech Scores'!#REF!,'Tech Scores'!#REF!),-1)</f>
        <v>-1</v>
      </c>
      <c r="J15" s="26">
        <f>IFERROR(AVERAGE('Tech Scores'!#REF!,'Tech Scores'!#REF!,'Tech Scores'!#REF!,'Tech Scores'!#REF!,'Tech Scores'!#REF!,'Tech Scores'!#REF!,'Tech Scores'!#REF!,'Tech Scores'!#REF!,'Tech Scores'!#REF!,'Tech Scores'!#REF!,'Tech Scores'!#REF!,'Tech Scores'!#REF!),-1)</f>
        <v>-1</v>
      </c>
      <c r="K15" s="26">
        <f>IFERROR(AVERAGE('Tech Scores'!#REF!,'Tech Scores'!#REF!,'Tech Scores'!#REF!,'Tech Scores'!#REF!,'Tech Scores'!#REF!,'Tech Scores'!#REF!,'Tech Scores'!#REF!,'Tech Scores'!#REF!,'Tech Scores'!#REF!,'Tech Scores'!#REF!,'Tech Scores'!#REF!,'Tech Scores'!#REF!),-1)</f>
        <v>-1</v>
      </c>
      <c r="L15" s="26">
        <f>IFERROR(AVERAGE('Tech Scores'!#REF!,'Tech Scores'!#REF!,'Tech Scores'!#REF!,'Tech Scores'!#REF!,'Tech Scores'!#REF!,'Tech Scores'!#REF!,'Tech Scores'!#REF!,'Tech Scores'!#REF!,'Tech Scores'!#REF!,'Tech Scores'!#REF!,'Tech Scores'!#REF!,'Tech Scores'!#REF!),-1)</f>
        <v>-1</v>
      </c>
    </row>
    <row r="16" spans="1:23" x14ac:dyDescent="0.25">
      <c r="A16" s="6">
        <v>311</v>
      </c>
      <c r="B16" s="2" t="s">
        <v>14</v>
      </c>
      <c r="C16" s="26">
        <f>IFERROR(AVERAGE('Tech Scores'!C16,'Tech Scores'!C40,'Tech Scores'!C64,'Tech Scores'!#REF!,'Tech Scores'!#REF!,'Tech Scores'!#REF!,'Tech Scores'!#REF!,'Tech Scores'!#REF!,'Tech Scores'!#REF!,'Tech Scores'!#REF!,'Tech Scores'!#REF!,'Tech Scores'!#REF!),-1)</f>
        <v>-1</v>
      </c>
      <c r="D16" s="26">
        <f>IFERROR(AVERAGE('Tech Scores'!D16,'Tech Scores'!D40,'Tech Scores'!D64,'Tech Scores'!#REF!,'Tech Scores'!#REF!,'Tech Scores'!#REF!,'Tech Scores'!#REF!,'Tech Scores'!#REF!,'Tech Scores'!#REF!,'Tech Scores'!#REF!,'Tech Scores'!#REF!,'Tech Scores'!#REF!),-1)</f>
        <v>-1</v>
      </c>
      <c r="E16" s="26">
        <f>IFERROR(AVERAGE('Tech Scores'!E16,'Tech Scores'!E40,'Tech Scores'!E64,'Tech Scores'!#REF!,'Tech Scores'!#REF!,'Tech Scores'!#REF!,'Tech Scores'!#REF!,'Tech Scores'!#REF!,'Tech Scores'!#REF!,'Tech Scores'!#REF!,'Tech Scores'!#REF!,'Tech Scores'!#REF!),-1)</f>
        <v>-1</v>
      </c>
      <c r="F16" s="26">
        <f>IFERROR(AVERAGE('Tech Scores'!F16,'Tech Scores'!F40,'Tech Scores'!F64,'Tech Scores'!#REF!,'Tech Scores'!#REF!,'Tech Scores'!#REF!,'Tech Scores'!#REF!,'Tech Scores'!#REF!,'Tech Scores'!#REF!,'Tech Scores'!#REF!,'Tech Scores'!#REF!,'Tech Scores'!#REF!),-1)</f>
        <v>-1</v>
      </c>
      <c r="G16" s="26">
        <f>IFERROR(AVERAGE('Tech Scores'!G16,'Tech Scores'!G40,'Tech Scores'!G64,'Tech Scores'!#REF!,'Tech Scores'!#REF!,'Tech Scores'!#REF!,'Tech Scores'!#REF!,'Tech Scores'!#REF!,'Tech Scores'!#REF!,'Tech Scores'!#REF!,'Tech Scores'!#REF!,'Tech Scores'!#REF!),-1)</f>
        <v>-1</v>
      </c>
      <c r="H16" s="26">
        <f>IFERROR(AVERAGE('Tech Scores'!#REF!,'Tech Scores'!#REF!,'Tech Scores'!#REF!,'Tech Scores'!#REF!,'Tech Scores'!#REF!,'Tech Scores'!#REF!,'Tech Scores'!#REF!,'Tech Scores'!#REF!,'Tech Scores'!#REF!,'Tech Scores'!#REF!,'Tech Scores'!#REF!,'Tech Scores'!#REF!),-1)</f>
        <v>-1</v>
      </c>
      <c r="I16" s="26">
        <f>IFERROR(AVERAGE('Tech Scores'!#REF!,'Tech Scores'!#REF!,'Tech Scores'!#REF!,'Tech Scores'!#REF!,'Tech Scores'!#REF!,'Tech Scores'!#REF!,'Tech Scores'!#REF!,'Tech Scores'!#REF!,'Tech Scores'!#REF!,'Tech Scores'!#REF!,'Tech Scores'!#REF!,'Tech Scores'!#REF!),-1)</f>
        <v>-1</v>
      </c>
      <c r="J16" s="26">
        <f>IFERROR(AVERAGE('Tech Scores'!#REF!,'Tech Scores'!#REF!,'Tech Scores'!#REF!,'Tech Scores'!#REF!,'Tech Scores'!#REF!,'Tech Scores'!#REF!,'Tech Scores'!#REF!,'Tech Scores'!#REF!,'Tech Scores'!#REF!,'Tech Scores'!#REF!,'Tech Scores'!#REF!,'Tech Scores'!#REF!),-1)</f>
        <v>-1</v>
      </c>
      <c r="K16" s="26">
        <f>IFERROR(AVERAGE('Tech Scores'!#REF!,'Tech Scores'!#REF!,'Tech Scores'!#REF!,'Tech Scores'!#REF!,'Tech Scores'!#REF!,'Tech Scores'!#REF!,'Tech Scores'!#REF!,'Tech Scores'!#REF!,'Tech Scores'!#REF!,'Tech Scores'!#REF!,'Tech Scores'!#REF!,'Tech Scores'!#REF!),-1)</f>
        <v>-1</v>
      </c>
      <c r="L16" s="26">
        <f>IFERROR(AVERAGE('Tech Scores'!#REF!,'Tech Scores'!#REF!,'Tech Scores'!#REF!,'Tech Scores'!#REF!,'Tech Scores'!#REF!,'Tech Scores'!#REF!,'Tech Scores'!#REF!,'Tech Scores'!#REF!,'Tech Scores'!#REF!,'Tech Scores'!#REF!,'Tech Scores'!#REF!,'Tech Scores'!#REF!),-1)</f>
        <v>-1</v>
      </c>
    </row>
    <row r="17" spans="1:12" x14ac:dyDescent="0.25">
      <c r="A17" s="6">
        <v>309</v>
      </c>
      <c r="B17" s="2" t="s">
        <v>15</v>
      </c>
      <c r="C17" s="26">
        <f>IFERROR(AVERAGE('Tech Scores'!C17,'Tech Scores'!C41,'Tech Scores'!C65,'Tech Scores'!#REF!,'Tech Scores'!#REF!,'Tech Scores'!#REF!,'Tech Scores'!#REF!,'Tech Scores'!#REF!,'Tech Scores'!#REF!,'Tech Scores'!#REF!,'Tech Scores'!#REF!,'Tech Scores'!#REF!),-1)</f>
        <v>-1</v>
      </c>
      <c r="D17" s="26">
        <f>IFERROR(AVERAGE('Tech Scores'!D17,'Tech Scores'!D41,'Tech Scores'!D65,'Tech Scores'!#REF!,'Tech Scores'!#REF!,'Tech Scores'!#REF!,'Tech Scores'!#REF!,'Tech Scores'!#REF!,'Tech Scores'!#REF!,'Tech Scores'!#REF!,'Tech Scores'!#REF!,'Tech Scores'!#REF!),-1)</f>
        <v>-1</v>
      </c>
      <c r="E17" s="26">
        <f>IFERROR(AVERAGE('Tech Scores'!E17,'Tech Scores'!E41,'Tech Scores'!E65,'Tech Scores'!#REF!,'Tech Scores'!#REF!,'Tech Scores'!#REF!,'Tech Scores'!#REF!,'Tech Scores'!#REF!,'Tech Scores'!#REF!,'Tech Scores'!#REF!,'Tech Scores'!#REF!,'Tech Scores'!#REF!),-1)</f>
        <v>-1</v>
      </c>
      <c r="F17" s="26">
        <f>IFERROR(AVERAGE('Tech Scores'!F17,'Tech Scores'!F41,'Tech Scores'!F65,'Tech Scores'!#REF!,'Tech Scores'!#REF!,'Tech Scores'!#REF!,'Tech Scores'!#REF!,'Tech Scores'!#REF!,'Tech Scores'!#REF!,'Tech Scores'!#REF!,'Tech Scores'!#REF!,'Tech Scores'!#REF!),-1)</f>
        <v>-1</v>
      </c>
      <c r="G17" s="26">
        <f>IFERROR(AVERAGE('Tech Scores'!G17,'Tech Scores'!G41,'Tech Scores'!G65,'Tech Scores'!#REF!,'Tech Scores'!#REF!,'Tech Scores'!#REF!,'Tech Scores'!#REF!,'Tech Scores'!#REF!,'Tech Scores'!#REF!,'Tech Scores'!#REF!,'Tech Scores'!#REF!,'Tech Scores'!#REF!),-1)</f>
        <v>-1</v>
      </c>
      <c r="H17" s="26">
        <f>IFERROR(AVERAGE('Tech Scores'!#REF!,'Tech Scores'!#REF!,'Tech Scores'!#REF!,'Tech Scores'!#REF!,'Tech Scores'!#REF!,'Tech Scores'!#REF!,'Tech Scores'!#REF!,'Tech Scores'!#REF!,'Tech Scores'!#REF!,'Tech Scores'!#REF!,'Tech Scores'!#REF!,'Tech Scores'!#REF!),-1)</f>
        <v>-1</v>
      </c>
      <c r="I17" s="26">
        <f>IFERROR(AVERAGE('Tech Scores'!#REF!,'Tech Scores'!#REF!,'Tech Scores'!#REF!,'Tech Scores'!#REF!,'Tech Scores'!#REF!,'Tech Scores'!#REF!,'Tech Scores'!#REF!,'Tech Scores'!#REF!,'Tech Scores'!#REF!,'Tech Scores'!#REF!,'Tech Scores'!#REF!,'Tech Scores'!#REF!),-1)</f>
        <v>-1</v>
      </c>
      <c r="J17" s="26">
        <f>IFERROR(AVERAGE('Tech Scores'!#REF!,'Tech Scores'!#REF!,'Tech Scores'!#REF!,'Tech Scores'!#REF!,'Tech Scores'!#REF!,'Tech Scores'!#REF!,'Tech Scores'!#REF!,'Tech Scores'!#REF!,'Tech Scores'!#REF!,'Tech Scores'!#REF!,'Tech Scores'!#REF!,'Tech Scores'!#REF!),-1)</f>
        <v>-1</v>
      </c>
      <c r="K17" s="26">
        <f>IFERROR(AVERAGE('Tech Scores'!#REF!,'Tech Scores'!#REF!,'Tech Scores'!#REF!,'Tech Scores'!#REF!,'Tech Scores'!#REF!,'Tech Scores'!#REF!,'Tech Scores'!#REF!,'Tech Scores'!#REF!,'Tech Scores'!#REF!,'Tech Scores'!#REF!,'Tech Scores'!#REF!,'Tech Scores'!#REF!),-1)</f>
        <v>-1</v>
      </c>
      <c r="L17" s="26">
        <f>IFERROR(AVERAGE('Tech Scores'!#REF!,'Tech Scores'!#REF!,'Tech Scores'!#REF!,'Tech Scores'!#REF!,'Tech Scores'!#REF!,'Tech Scores'!#REF!,'Tech Scores'!#REF!,'Tech Scores'!#REF!,'Tech Scores'!#REF!,'Tech Scores'!#REF!,'Tech Scores'!#REF!,'Tech Scores'!#REF!),-1)</f>
        <v>-1</v>
      </c>
    </row>
    <row r="18" spans="1:12" x14ac:dyDescent="0.25">
      <c r="A18" s="6">
        <v>312</v>
      </c>
      <c r="B18" s="2" t="s">
        <v>16</v>
      </c>
      <c r="C18" s="26">
        <f>IFERROR(AVERAGE('Tech Scores'!C18,'Tech Scores'!C42,'Tech Scores'!C66,'Tech Scores'!#REF!,'Tech Scores'!#REF!,'Tech Scores'!#REF!,'Tech Scores'!#REF!,'Tech Scores'!#REF!,'Tech Scores'!#REF!,'Tech Scores'!#REF!,'Tech Scores'!#REF!,'Tech Scores'!#REF!),-1)</f>
        <v>-1</v>
      </c>
      <c r="D18" s="26">
        <f>IFERROR(AVERAGE('Tech Scores'!D18,'Tech Scores'!D42,'Tech Scores'!D66,'Tech Scores'!#REF!,'Tech Scores'!#REF!,'Tech Scores'!#REF!,'Tech Scores'!#REF!,'Tech Scores'!#REF!,'Tech Scores'!#REF!,'Tech Scores'!#REF!,'Tech Scores'!#REF!,'Tech Scores'!#REF!),-1)</f>
        <v>-1</v>
      </c>
      <c r="E18" s="26">
        <f>IFERROR(AVERAGE('Tech Scores'!E18,'Tech Scores'!E42,'Tech Scores'!E66,'Tech Scores'!#REF!,'Tech Scores'!#REF!,'Tech Scores'!#REF!,'Tech Scores'!#REF!,'Tech Scores'!#REF!,'Tech Scores'!#REF!,'Tech Scores'!#REF!,'Tech Scores'!#REF!,'Tech Scores'!#REF!),-1)</f>
        <v>-1</v>
      </c>
      <c r="F18" s="26">
        <f>IFERROR(AVERAGE('Tech Scores'!F18,'Tech Scores'!F42,'Tech Scores'!F66,'Tech Scores'!#REF!,'Tech Scores'!#REF!,'Tech Scores'!#REF!,'Tech Scores'!#REF!,'Tech Scores'!#REF!,'Tech Scores'!#REF!,'Tech Scores'!#REF!,'Tech Scores'!#REF!,'Tech Scores'!#REF!),-1)</f>
        <v>-1</v>
      </c>
      <c r="G18" s="26">
        <f>IFERROR(AVERAGE('Tech Scores'!G18,'Tech Scores'!G42,'Tech Scores'!G66,'Tech Scores'!#REF!,'Tech Scores'!#REF!,'Tech Scores'!#REF!,'Tech Scores'!#REF!,'Tech Scores'!#REF!,'Tech Scores'!#REF!,'Tech Scores'!#REF!,'Tech Scores'!#REF!,'Tech Scores'!#REF!),-1)</f>
        <v>-1</v>
      </c>
      <c r="H18" s="26">
        <f>IFERROR(AVERAGE('Tech Scores'!#REF!,'Tech Scores'!#REF!,'Tech Scores'!#REF!,'Tech Scores'!#REF!,'Tech Scores'!#REF!,'Tech Scores'!#REF!,'Tech Scores'!#REF!,'Tech Scores'!#REF!,'Tech Scores'!#REF!,'Tech Scores'!#REF!,'Tech Scores'!#REF!,'Tech Scores'!#REF!),-1)</f>
        <v>-1</v>
      </c>
      <c r="I18" s="26">
        <f>IFERROR(AVERAGE('Tech Scores'!#REF!,'Tech Scores'!#REF!,'Tech Scores'!#REF!,'Tech Scores'!#REF!,'Tech Scores'!#REF!,'Tech Scores'!#REF!,'Tech Scores'!#REF!,'Tech Scores'!#REF!,'Tech Scores'!#REF!,'Tech Scores'!#REF!,'Tech Scores'!#REF!,'Tech Scores'!#REF!),-1)</f>
        <v>-1</v>
      </c>
      <c r="J18" s="26">
        <f>IFERROR(AVERAGE('Tech Scores'!#REF!,'Tech Scores'!#REF!,'Tech Scores'!#REF!,'Tech Scores'!#REF!,'Tech Scores'!#REF!,'Tech Scores'!#REF!,'Tech Scores'!#REF!,'Tech Scores'!#REF!,'Tech Scores'!#REF!,'Tech Scores'!#REF!,'Tech Scores'!#REF!,'Tech Scores'!#REF!),-1)</f>
        <v>-1</v>
      </c>
      <c r="K18" s="26">
        <f>IFERROR(AVERAGE('Tech Scores'!#REF!,'Tech Scores'!#REF!,'Tech Scores'!#REF!,'Tech Scores'!#REF!,'Tech Scores'!#REF!,'Tech Scores'!#REF!,'Tech Scores'!#REF!,'Tech Scores'!#REF!,'Tech Scores'!#REF!,'Tech Scores'!#REF!,'Tech Scores'!#REF!,'Tech Scores'!#REF!),-1)</f>
        <v>-1</v>
      </c>
      <c r="L18" s="26">
        <f>IFERROR(AVERAGE('Tech Scores'!#REF!,'Tech Scores'!#REF!,'Tech Scores'!#REF!,'Tech Scores'!#REF!,'Tech Scores'!#REF!,'Tech Scores'!#REF!,'Tech Scores'!#REF!,'Tech Scores'!#REF!,'Tech Scores'!#REF!,'Tech Scores'!#REF!,'Tech Scores'!#REF!,'Tech Scores'!#REF!),-1)</f>
        <v>-1</v>
      </c>
    </row>
    <row r="19" spans="1:12" x14ac:dyDescent="0.25">
      <c r="A19" s="6">
        <v>310</v>
      </c>
      <c r="B19" s="2" t="s">
        <v>17</v>
      </c>
      <c r="C19" s="26">
        <f>IFERROR(AVERAGE('Tech Scores'!C19,'Tech Scores'!C43,'Tech Scores'!C67,'Tech Scores'!#REF!,'Tech Scores'!#REF!,'Tech Scores'!#REF!,'Tech Scores'!#REF!,'Tech Scores'!#REF!,'Tech Scores'!#REF!,'Tech Scores'!#REF!,'Tech Scores'!#REF!,'Tech Scores'!#REF!),-1)</f>
        <v>-1</v>
      </c>
      <c r="D19" s="26">
        <f>IFERROR(AVERAGE('Tech Scores'!D19,'Tech Scores'!D43,'Tech Scores'!D67,'Tech Scores'!#REF!,'Tech Scores'!#REF!,'Tech Scores'!#REF!,'Tech Scores'!#REF!,'Tech Scores'!#REF!,'Tech Scores'!#REF!,'Tech Scores'!#REF!,'Tech Scores'!#REF!,'Tech Scores'!#REF!),-1)</f>
        <v>-1</v>
      </c>
      <c r="E19" s="26">
        <f>IFERROR(AVERAGE('Tech Scores'!E19,'Tech Scores'!E43,'Tech Scores'!E67,'Tech Scores'!#REF!,'Tech Scores'!#REF!,'Tech Scores'!#REF!,'Tech Scores'!#REF!,'Tech Scores'!#REF!,'Tech Scores'!#REF!,'Tech Scores'!#REF!,'Tech Scores'!#REF!,'Tech Scores'!#REF!),-1)</f>
        <v>-1</v>
      </c>
      <c r="F19" s="26">
        <f>IFERROR(AVERAGE('Tech Scores'!F19,'Tech Scores'!F43,'Tech Scores'!F67,'Tech Scores'!#REF!,'Tech Scores'!#REF!,'Tech Scores'!#REF!,'Tech Scores'!#REF!,'Tech Scores'!#REF!,'Tech Scores'!#REF!,'Tech Scores'!#REF!,'Tech Scores'!#REF!,'Tech Scores'!#REF!),-1)</f>
        <v>-1</v>
      </c>
      <c r="G19" s="26">
        <f>IFERROR(AVERAGE('Tech Scores'!G19,'Tech Scores'!G43,'Tech Scores'!G67,'Tech Scores'!#REF!,'Tech Scores'!#REF!,'Tech Scores'!#REF!,'Tech Scores'!#REF!,'Tech Scores'!#REF!,'Tech Scores'!#REF!,'Tech Scores'!#REF!,'Tech Scores'!#REF!,'Tech Scores'!#REF!),-1)</f>
        <v>-1</v>
      </c>
      <c r="H19" s="26">
        <f>IFERROR(AVERAGE('Tech Scores'!#REF!,'Tech Scores'!#REF!,'Tech Scores'!#REF!,'Tech Scores'!#REF!,'Tech Scores'!#REF!,'Tech Scores'!#REF!,'Tech Scores'!#REF!,'Tech Scores'!#REF!,'Tech Scores'!#REF!,'Tech Scores'!#REF!,'Tech Scores'!#REF!,'Tech Scores'!#REF!),-1)</f>
        <v>-1</v>
      </c>
      <c r="I19" s="26">
        <f>IFERROR(AVERAGE('Tech Scores'!#REF!,'Tech Scores'!#REF!,'Tech Scores'!#REF!,'Tech Scores'!#REF!,'Tech Scores'!#REF!,'Tech Scores'!#REF!,'Tech Scores'!#REF!,'Tech Scores'!#REF!,'Tech Scores'!#REF!,'Tech Scores'!#REF!,'Tech Scores'!#REF!,'Tech Scores'!#REF!),-1)</f>
        <v>-1</v>
      </c>
      <c r="J19" s="26">
        <f>IFERROR(AVERAGE('Tech Scores'!#REF!,'Tech Scores'!#REF!,'Tech Scores'!#REF!,'Tech Scores'!#REF!,'Tech Scores'!#REF!,'Tech Scores'!#REF!,'Tech Scores'!#REF!,'Tech Scores'!#REF!,'Tech Scores'!#REF!,'Tech Scores'!#REF!,'Tech Scores'!#REF!,'Tech Scores'!#REF!),-1)</f>
        <v>-1</v>
      </c>
      <c r="K19" s="26">
        <f>IFERROR(AVERAGE('Tech Scores'!#REF!,'Tech Scores'!#REF!,'Tech Scores'!#REF!,'Tech Scores'!#REF!,'Tech Scores'!#REF!,'Tech Scores'!#REF!,'Tech Scores'!#REF!,'Tech Scores'!#REF!,'Tech Scores'!#REF!,'Tech Scores'!#REF!,'Tech Scores'!#REF!,'Tech Scores'!#REF!),-1)</f>
        <v>-1</v>
      </c>
      <c r="L19" s="26">
        <f>IFERROR(AVERAGE('Tech Scores'!#REF!,'Tech Scores'!#REF!,'Tech Scores'!#REF!,'Tech Scores'!#REF!,'Tech Scores'!#REF!,'Tech Scores'!#REF!,'Tech Scores'!#REF!,'Tech Scores'!#REF!,'Tech Scores'!#REF!,'Tech Scores'!#REF!,'Tech Scores'!#REF!,'Tech Scores'!#REF!),-1)</f>
        <v>-1</v>
      </c>
    </row>
    <row r="20" spans="1:12" ht="30" x14ac:dyDescent="0.25">
      <c r="A20" s="6" t="s">
        <v>5</v>
      </c>
      <c r="B20" s="18" t="s">
        <v>36</v>
      </c>
      <c r="C20" s="26">
        <f>IFERROR(AVERAGE('Tech Scores'!C20,'Tech Scores'!C44,'Tech Scores'!C68,'Tech Scores'!#REF!,'Tech Scores'!#REF!,'Tech Scores'!#REF!,'Tech Scores'!#REF!,'Tech Scores'!#REF!,'Tech Scores'!#REF!,'Tech Scores'!#REF!,'Tech Scores'!#REF!,'Tech Scores'!#REF!),-1)</f>
        <v>-1</v>
      </c>
      <c r="D20" s="26">
        <f>IFERROR(AVERAGE('Tech Scores'!D20,'Tech Scores'!D44,'Tech Scores'!D68,'Tech Scores'!#REF!,'Tech Scores'!#REF!,'Tech Scores'!#REF!,'Tech Scores'!#REF!,'Tech Scores'!#REF!,'Tech Scores'!#REF!,'Tech Scores'!#REF!,'Tech Scores'!#REF!,'Tech Scores'!#REF!),-1)</f>
        <v>-1</v>
      </c>
      <c r="E20" s="26">
        <f>IFERROR(AVERAGE('Tech Scores'!E20,'Tech Scores'!E44,'Tech Scores'!E68,'Tech Scores'!#REF!,'Tech Scores'!#REF!,'Tech Scores'!#REF!,'Tech Scores'!#REF!,'Tech Scores'!#REF!,'Tech Scores'!#REF!,'Tech Scores'!#REF!,'Tech Scores'!#REF!,'Tech Scores'!#REF!),-1)</f>
        <v>-1</v>
      </c>
      <c r="F20" s="26">
        <f>IFERROR(AVERAGE('Tech Scores'!F20,'Tech Scores'!F44,'Tech Scores'!F68,'Tech Scores'!#REF!,'Tech Scores'!#REF!,'Tech Scores'!#REF!,'Tech Scores'!#REF!,'Tech Scores'!#REF!,'Tech Scores'!#REF!,'Tech Scores'!#REF!,'Tech Scores'!#REF!,'Tech Scores'!#REF!),-1)</f>
        <v>-1</v>
      </c>
      <c r="G20" s="26">
        <f>IFERROR(AVERAGE('Tech Scores'!G20,'Tech Scores'!G44,'Tech Scores'!G68,'Tech Scores'!#REF!,'Tech Scores'!#REF!,'Tech Scores'!#REF!,'Tech Scores'!#REF!,'Tech Scores'!#REF!,'Tech Scores'!#REF!,'Tech Scores'!#REF!,'Tech Scores'!#REF!,'Tech Scores'!#REF!),-1)</f>
        <v>-1</v>
      </c>
      <c r="H20" s="26">
        <f>IFERROR(AVERAGE('Tech Scores'!#REF!,'Tech Scores'!#REF!,'Tech Scores'!#REF!,'Tech Scores'!#REF!,'Tech Scores'!#REF!,'Tech Scores'!#REF!,'Tech Scores'!#REF!,'Tech Scores'!#REF!,'Tech Scores'!#REF!,'Tech Scores'!#REF!,'Tech Scores'!#REF!,'Tech Scores'!#REF!),-1)</f>
        <v>-1</v>
      </c>
      <c r="I20" s="26">
        <f>IFERROR(AVERAGE('Tech Scores'!#REF!,'Tech Scores'!#REF!,'Tech Scores'!#REF!,'Tech Scores'!#REF!,'Tech Scores'!#REF!,'Tech Scores'!#REF!,'Tech Scores'!#REF!,'Tech Scores'!#REF!,'Tech Scores'!#REF!,'Tech Scores'!#REF!,'Tech Scores'!#REF!,'Tech Scores'!#REF!),-1)</f>
        <v>-1</v>
      </c>
      <c r="J20" s="26">
        <f>IFERROR(AVERAGE('Tech Scores'!#REF!,'Tech Scores'!#REF!,'Tech Scores'!#REF!,'Tech Scores'!#REF!,'Tech Scores'!#REF!,'Tech Scores'!#REF!,'Tech Scores'!#REF!,'Tech Scores'!#REF!,'Tech Scores'!#REF!,'Tech Scores'!#REF!,'Tech Scores'!#REF!,'Tech Scores'!#REF!),-1)</f>
        <v>-1</v>
      </c>
      <c r="K20" s="26">
        <f>IFERROR(AVERAGE('Tech Scores'!#REF!,'Tech Scores'!#REF!,'Tech Scores'!#REF!,'Tech Scores'!#REF!,'Tech Scores'!#REF!,'Tech Scores'!#REF!,'Tech Scores'!#REF!,'Tech Scores'!#REF!,'Tech Scores'!#REF!,'Tech Scores'!#REF!,'Tech Scores'!#REF!,'Tech Scores'!#REF!),-1)</f>
        <v>-1</v>
      </c>
      <c r="L20" s="26">
        <f>IFERROR(AVERAGE('Tech Scores'!#REF!,'Tech Scores'!#REF!,'Tech Scores'!#REF!,'Tech Scores'!#REF!,'Tech Scores'!#REF!,'Tech Scores'!#REF!,'Tech Scores'!#REF!,'Tech Scores'!#REF!,'Tech Scores'!#REF!,'Tech Scores'!#REF!,'Tech Scores'!#REF!,'Tech Scores'!#REF!),-1)</f>
        <v>-1</v>
      </c>
    </row>
    <row r="21" spans="1:12" x14ac:dyDescent="0.25">
      <c r="A21" s="6" t="s">
        <v>5</v>
      </c>
      <c r="B21" s="18" t="s">
        <v>37</v>
      </c>
      <c r="C21" s="26">
        <f>IFERROR(AVERAGE('Tech Scores'!C21,'Tech Scores'!C45,'Tech Scores'!C69,'Tech Scores'!#REF!,'Tech Scores'!#REF!,'Tech Scores'!#REF!,'Tech Scores'!#REF!,'Tech Scores'!#REF!,'Tech Scores'!#REF!,'Tech Scores'!#REF!,'Tech Scores'!#REF!,'Tech Scores'!#REF!),-1)</f>
        <v>-1</v>
      </c>
      <c r="D21" s="26">
        <f>IFERROR(AVERAGE('Tech Scores'!D21,'Tech Scores'!D45,'Tech Scores'!D69,'Tech Scores'!#REF!,'Tech Scores'!#REF!,'Tech Scores'!#REF!,'Tech Scores'!#REF!,'Tech Scores'!#REF!,'Tech Scores'!#REF!,'Tech Scores'!#REF!,'Tech Scores'!#REF!,'Tech Scores'!#REF!),-1)</f>
        <v>-1</v>
      </c>
      <c r="E21" s="26">
        <f>IFERROR(AVERAGE('Tech Scores'!E21,'Tech Scores'!E45,'Tech Scores'!E69,'Tech Scores'!#REF!,'Tech Scores'!#REF!,'Tech Scores'!#REF!,'Tech Scores'!#REF!,'Tech Scores'!#REF!,'Tech Scores'!#REF!,'Tech Scores'!#REF!,'Tech Scores'!#REF!,'Tech Scores'!#REF!),-1)</f>
        <v>-1</v>
      </c>
      <c r="F21" s="26">
        <f>IFERROR(AVERAGE('Tech Scores'!F21,'Tech Scores'!F45,'Tech Scores'!F69,'Tech Scores'!#REF!,'Tech Scores'!#REF!,'Tech Scores'!#REF!,'Tech Scores'!#REF!,'Tech Scores'!#REF!,'Tech Scores'!#REF!,'Tech Scores'!#REF!,'Tech Scores'!#REF!,'Tech Scores'!#REF!),-1)</f>
        <v>-1</v>
      </c>
      <c r="G21" s="26">
        <f>IFERROR(AVERAGE('Tech Scores'!G21,'Tech Scores'!G45,'Tech Scores'!G69,'Tech Scores'!#REF!,'Tech Scores'!#REF!,'Tech Scores'!#REF!,'Tech Scores'!#REF!,'Tech Scores'!#REF!,'Tech Scores'!#REF!,'Tech Scores'!#REF!,'Tech Scores'!#REF!,'Tech Scores'!#REF!),-1)</f>
        <v>-1</v>
      </c>
      <c r="H21" s="26">
        <f>IFERROR(AVERAGE('Tech Scores'!#REF!,'Tech Scores'!#REF!,'Tech Scores'!#REF!,'Tech Scores'!#REF!,'Tech Scores'!#REF!,'Tech Scores'!#REF!,'Tech Scores'!#REF!,'Tech Scores'!#REF!,'Tech Scores'!#REF!,'Tech Scores'!#REF!,'Tech Scores'!#REF!,'Tech Scores'!#REF!),-1)</f>
        <v>-1</v>
      </c>
      <c r="I21" s="26">
        <f>IFERROR(AVERAGE('Tech Scores'!#REF!,'Tech Scores'!#REF!,'Tech Scores'!#REF!,'Tech Scores'!#REF!,'Tech Scores'!#REF!,'Tech Scores'!#REF!,'Tech Scores'!#REF!,'Tech Scores'!#REF!,'Tech Scores'!#REF!,'Tech Scores'!#REF!,'Tech Scores'!#REF!,'Tech Scores'!#REF!),-1)</f>
        <v>-1</v>
      </c>
      <c r="J21" s="26">
        <f>IFERROR(AVERAGE('Tech Scores'!#REF!,'Tech Scores'!#REF!,'Tech Scores'!#REF!,'Tech Scores'!#REF!,'Tech Scores'!#REF!,'Tech Scores'!#REF!,'Tech Scores'!#REF!,'Tech Scores'!#REF!,'Tech Scores'!#REF!,'Tech Scores'!#REF!,'Tech Scores'!#REF!,'Tech Scores'!#REF!),-1)</f>
        <v>-1</v>
      </c>
      <c r="K21" s="26">
        <f>IFERROR(AVERAGE('Tech Scores'!#REF!,'Tech Scores'!#REF!,'Tech Scores'!#REF!,'Tech Scores'!#REF!,'Tech Scores'!#REF!,'Tech Scores'!#REF!,'Tech Scores'!#REF!,'Tech Scores'!#REF!,'Tech Scores'!#REF!,'Tech Scores'!#REF!,'Tech Scores'!#REF!,'Tech Scores'!#REF!),-1)</f>
        <v>-1</v>
      </c>
      <c r="L21" s="26">
        <f>IFERROR(AVERAGE('Tech Scores'!#REF!,'Tech Scores'!#REF!,'Tech Scores'!#REF!,'Tech Scores'!#REF!,'Tech Scores'!#REF!,'Tech Scores'!#REF!,'Tech Scores'!#REF!,'Tech Scores'!#REF!,'Tech Scores'!#REF!,'Tech Scores'!#REF!,'Tech Scores'!#REF!,'Tech Scores'!#REF!),-1)</f>
        <v>-1</v>
      </c>
    </row>
    <row r="22" spans="1:12" x14ac:dyDescent="0.25">
      <c r="A22" s="6" t="s">
        <v>5</v>
      </c>
      <c r="B22" s="18" t="s">
        <v>38</v>
      </c>
      <c r="C22" s="26">
        <f>IFERROR(AVERAGE('Tech Scores'!C22,'Tech Scores'!C46,'Tech Scores'!C70,'Tech Scores'!#REF!,'Tech Scores'!#REF!,'Tech Scores'!#REF!,'Tech Scores'!#REF!,'Tech Scores'!#REF!,'Tech Scores'!#REF!,'Tech Scores'!#REF!,'Tech Scores'!#REF!,'Tech Scores'!#REF!),-1)</f>
        <v>-1</v>
      </c>
      <c r="D22" s="26">
        <f>IFERROR(AVERAGE('Tech Scores'!D22,'Tech Scores'!D46,'Tech Scores'!D70,'Tech Scores'!#REF!,'Tech Scores'!#REF!,'Tech Scores'!#REF!,'Tech Scores'!#REF!,'Tech Scores'!#REF!,'Tech Scores'!#REF!,'Tech Scores'!#REF!,'Tech Scores'!#REF!,'Tech Scores'!#REF!),-1)</f>
        <v>-1</v>
      </c>
      <c r="E22" s="26">
        <f>IFERROR(AVERAGE('Tech Scores'!E22,'Tech Scores'!E46,'Tech Scores'!E70,'Tech Scores'!#REF!,'Tech Scores'!#REF!,'Tech Scores'!#REF!,'Tech Scores'!#REF!,'Tech Scores'!#REF!,'Tech Scores'!#REF!,'Tech Scores'!#REF!,'Tech Scores'!#REF!,'Tech Scores'!#REF!),-1)</f>
        <v>-1</v>
      </c>
      <c r="F22" s="26">
        <f>IFERROR(AVERAGE('Tech Scores'!F22,'Tech Scores'!F46,'Tech Scores'!F70,'Tech Scores'!#REF!,'Tech Scores'!#REF!,'Tech Scores'!#REF!,'Tech Scores'!#REF!,'Tech Scores'!#REF!,'Tech Scores'!#REF!,'Tech Scores'!#REF!,'Tech Scores'!#REF!,'Tech Scores'!#REF!),-1)</f>
        <v>-1</v>
      </c>
      <c r="G22" s="26">
        <f>IFERROR(AVERAGE('Tech Scores'!G22,'Tech Scores'!G46,'Tech Scores'!G70,'Tech Scores'!#REF!,'Tech Scores'!#REF!,'Tech Scores'!#REF!,'Tech Scores'!#REF!,'Tech Scores'!#REF!,'Tech Scores'!#REF!,'Tech Scores'!#REF!,'Tech Scores'!#REF!,'Tech Scores'!#REF!),-1)</f>
        <v>-1</v>
      </c>
      <c r="H22" s="26">
        <f>IFERROR(AVERAGE('Tech Scores'!#REF!,'Tech Scores'!#REF!,'Tech Scores'!#REF!,'Tech Scores'!#REF!,'Tech Scores'!#REF!,'Tech Scores'!#REF!,'Tech Scores'!#REF!,'Tech Scores'!#REF!,'Tech Scores'!#REF!,'Tech Scores'!#REF!,'Tech Scores'!#REF!,'Tech Scores'!#REF!),-1)</f>
        <v>-1</v>
      </c>
      <c r="I22" s="26">
        <f>IFERROR(AVERAGE('Tech Scores'!#REF!,'Tech Scores'!#REF!,'Tech Scores'!#REF!,'Tech Scores'!#REF!,'Tech Scores'!#REF!,'Tech Scores'!#REF!,'Tech Scores'!#REF!,'Tech Scores'!#REF!,'Tech Scores'!#REF!,'Tech Scores'!#REF!,'Tech Scores'!#REF!,'Tech Scores'!#REF!),-1)</f>
        <v>-1</v>
      </c>
      <c r="J22" s="26">
        <f>IFERROR(AVERAGE('Tech Scores'!#REF!,'Tech Scores'!#REF!,'Tech Scores'!#REF!,'Tech Scores'!#REF!,'Tech Scores'!#REF!,'Tech Scores'!#REF!,'Tech Scores'!#REF!,'Tech Scores'!#REF!,'Tech Scores'!#REF!,'Tech Scores'!#REF!,'Tech Scores'!#REF!,'Tech Scores'!#REF!),-1)</f>
        <v>-1</v>
      </c>
      <c r="K22" s="26">
        <f>IFERROR(AVERAGE('Tech Scores'!#REF!,'Tech Scores'!#REF!,'Tech Scores'!#REF!,'Tech Scores'!#REF!,'Tech Scores'!#REF!,'Tech Scores'!#REF!,'Tech Scores'!#REF!,'Tech Scores'!#REF!,'Tech Scores'!#REF!,'Tech Scores'!#REF!,'Tech Scores'!#REF!,'Tech Scores'!#REF!),-1)</f>
        <v>-1</v>
      </c>
      <c r="L22" s="26">
        <f>IFERROR(AVERAGE('Tech Scores'!#REF!,'Tech Scores'!#REF!,'Tech Scores'!#REF!,'Tech Scores'!#REF!,'Tech Scores'!#REF!,'Tech Scores'!#REF!,'Tech Scores'!#REF!,'Tech Scores'!#REF!,'Tech Scores'!#REF!,'Tech Scores'!#REF!,'Tech Scores'!#REF!,'Tech Scores'!#REF!),-1)</f>
        <v>-1</v>
      </c>
    </row>
    <row r="23" spans="1:12" x14ac:dyDescent="0.25">
      <c r="A23" s="6" t="s">
        <v>5</v>
      </c>
      <c r="B23" s="18" t="s">
        <v>39</v>
      </c>
      <c r="C23" s="26">
        <f>IFERROR(AVERAGE('Tech Scores'!C23,'Tech Scores'!C47,'Tech Scores'!C71,'Tech Scores'!#REF!,'Tech Scores'!#REF!,'Tech Scores'!#REF!,'Tech Scores'!#REF!,'Tech Scores'!#REF!,'Tech Scores'!#REF!,'Tech Scores'!#REF!,'Tech Scores'!#REF!,'Tech Scores'!#REF!),-1)</f>
        <v>-1</v>
      </c>
      <c r="D23" s="26">
        <f>IFERROR(AVERAGE('Tech Scores'!D23,'Tech Scores'!D47,'Tech Scores'!D71,'Tech Scores'!#REF!,'Tech Scores'!#REF!,'Tech Scores'!#REF!,'Tech Scores'!#REF!,'Tech Scores'!#REF!,'Tech Scores'!#REF!,'Tech Scores'!#REF!,'Tech Scores'!#REF!,'Tech Scores'!#REF!),-1)</f>
        <v>-1</v>
      </c>
      <c r="E23" s="26">
        <f>IFERROR(AVERAGE('Tech Scores'!E23,'Tech Scores'!E47,'Tech Scores'!E71,'Tech Scores'!#REF!,'Tech Scores'!#REF!,'Tech Scores'!#REF!,'Tech Scores'!#REF!,'Tech Scores'!#REF!,'Tech Scores'!#REF!,'Tech Scores'!#REF!,'Tech Scores'!#REF!,'Tech Scores'!#REF!),-1)</f>
        <v>-1</v>
      </c>
      <c r="F23" s="26">
        <f>IFERROR(AVERAGE('Tech Scores'!F23,'Tech Scores'!F47,'Tech Scores'!F71,'Tech Scores'!#REF!,'Tech Scores'!#REF!,'Tech Scores'!#REF!,'Tech Scores'!#REF!,'Tech Scores'!#REF!,'Tech Scores'!#REF!,'Tech Scores'!#REF!,'Tech Scores'!#REF!,'Tech Scores'!#REF!),-1)</f>
        <v>-1</v>
      </c>
      <c r="G23" s="26">
        <f>IFERROR(AVERAGE('Tech Scores'!G23,'Tech Scores'!G47,'Tech Scores'!G71,'Tech Scores'!#REF!,'Tech Scores'!#REF!,'Tech Scores'!#REF!,'Tech Scores'!#REF!,'Tech Scores'!#REF!,'Tech Scores'!#REF!,'Tech Scores'!#REF!,'Tech Scores'!#REF!,'Tech Scores'!#REF!),-1)</f>
        <v>-1</v>
      </c>
      <c r="H23" s="26">
        <f>IFERROR(AVERAGE('Tech Scores'!#REF!,'Tech Scores'!#REF!,'Tech Scores'!#REF!,'Tech Scores'!#REF!,'Tech Scores'!#REF!,'Tech Scores'!#REF!,'Tech Scores'!#REF!,'Tech Scores'!#REF!,'Tech Scores'!#REF!,'Tech Scores'!#REF!,'Tech Scores'!#REF!,'Tech Scores'!#REF!),-1)</f>
        <v>-1</v>
      </c>
      <c r="I23" s="26">
        <f>IFERROR(AVERAGE('Tech Scores'!#REF!,'Tech Scores'!#REF!,'Tech Scores'!#REF!,'Tech Scores'!#REF!,'Tech Scores'!#REF!,'Tech Scores'!#REF!,'Tech Scores'!#REF!,'Tech Scores'!#REF!,'Tech Scores'!#REF!,'Tech Scores'!#REF!,'Tech Scores'!#REF!,'Tech Scores'!#REF!),-1)</f>
        <v>-1</v>
      </c>
      <c r="J23" s="26">
        <f>IFERROR(AVERAGE('Tech Scores'!#REF!,'Tech Scores'!#REF!,'Tech Scores'!#REF!,'Tech Scores'!#REF!,'Tech Scores'!#REF!,'Tech Scores'!#REF!,'Tech Scores'!#REF!,'Tech Scores'!#REF!,'Tech Scores'!#REF!,'Tech Scores'!#REF!,'Tech Scores'!#REF!,'Tech Scores'!#REF!),-1)</f>
        <v>-1</v>
      </c>
      <c r="K23" s="26">
        <f>IFERROR(AVERAGE('Tech Scores'!#REF!,'Tech Scores'!#REF!,'Tech Scores'!#REF!,'Tech Scores'!#REF!,'Tech Scores'!#REF!,'Tech Scores'!#REF!,'Tech Scores'!#REF!,'Tech Scores'!#REF!,'Tech Scores'!#REF!,'Tech Scores'!#REF!,'Tech Scores'!#REF!,'Tech Scores'!#REF!),-1)</f>
        <v>-1</v>
      </c>
      <c r="L23" s="26">
        <f>IFERROR(AVERAGE('Tech Scores'!#REF!,'Tech Scores'!#REF!,'Tech Scores'!#REF!,'Tech Scores'!#REF!,'Tech Scores'!#REF!,'Tech Scores'!#REF!,'Tech Scores'!#REF!,'Tech Scores'!#REF!,'Tech Scores'!#REF!,'Tech Scores'!#REF!,'Tech Scores'!#REF!,'Tech Scores'!#REF!),-1)</f>
        <v>-1</v>
      </c>
    </row>
  </sheetData>
  <mergeCells count="2">
    <mergeCell ref="C1:L1"/>
    <mergeCell ref="M1:V1"/>
  </mergeCells>
  <conditionalFormatting sqref="M3:N3 M4:V4 M5:M12 N7:V7">
    <cfRule type="cellIs" dxfId="29" priority="33" operator="greaterThan">
      <formula>3</formula>
    </cfRule>
    <cfRule type="cellIs" dxfId="28" priority="34" operator="lessThan">
      <formula>1</formula>
    </cfRule>
  </conditionalFormatting>
  <conditionalFormatting sqref="R4:V4">
    <cfRule type="cellIs" dxfId="27" priority="31" operator="greaterThan">
      <formula>3</formula>
    </cfRule>
    <cfRule type="cellIs" dxfId="26" priority="32" operator="lessThan">
      <formula>1</formula>
    </cfRule>
  </conditionalFormatting>
  <conditionalFormatting sqref="C3:L21">
    <cfRule type="cellIs" dxfId="25" priority="30" operator="equal">
      <formula>-1</formula>
    </cfRule>
  </conditionalFormatting>
  <conditionalFormatting sqref="M3">
    <cfRule type="cellIs" dxfId="24" priority="29" operator="equal">
      <formula>-1</formula>
    </cfRule>
  </conditionalFormatting>
  <conditionalFormatting sqref="N3">
    <cfRule type="cellIs" dxfId="23" priority="28" operator="equal">
      <formula>-1</formula>
    </cfRule>
  </conditionalFormatting>
  <conditionalFormatting sqref="O3:V3">
    <cfRule type="cellIs" dxfId="22" priority="26" operator="greaterThan">
      <formula>3</formula>
    </cfRule>
    <cfRule type="cellIs" dxfId="21" priority="27" operator="lessThan">
      <formula>1</formula>
    </cfRule>
  </conditionalFormatting>
  <conditionalFormatting sqref="O3:V3">
    <cfRule type="cellIs" dxfId="20" priority="25" operator="equal">
      <formula>-1</formula>
    </cfRule>
  </conditionalFormatting>
  <conditionalFormatting sqref="M4:V4">
    <cfRule type="cellIs" dxfId="19" priority="24" operator="equal">
      <formula>-1</formula>
    </cfRule>
  </conditionalFormatting>
  <conditionalFormatting sqref="N5:V5">
    <cfRule type="cellIs" dxfId="18" priority="22" operator="greaterThan">
      <formula>3</formula>
    </cfRule>
    <cfRule type="cellIs" dxfId="17" priority="23" operator="lessThan">
      <formula>1</formula>
    </cfRule>
  </conditionalFormatting>
  <conditionalFormatting sqref="N6:V6">
    <cfRule type="cellIs" dxfId="16" priority="20" operator="greaterThan">
      <formula>3</formula>
    </cfRule>
    <cfRule type="cellIs" dxfId="15" priority="21" operator="lessThan">
      <formula>1</formula>
    </cfRule>
  </conditionalFormatting>
  <conditionalFormatting sqref="N7:V7">
    <cfRule type="cellIs" dxfId="14" priority="18" operator="greaterThan">
      <formula>3</formula>
    </cfRule>
    <cfRule type="cellIs" dxfId="13" priority="19" operator="lessThan">
      <formula>1</formula>
    </cfRule>
  </conditionalFormatting>
  <conditionalFormatting sqref="N8:V8">
    <cfRule type="cellIs" dxfId="12" priority="16" operator="greaterThan">
      <formula>3</formula>
    </cfRule>
    <cfRule type="cellIs" dxfId="11" priority="17" operator="lessThan">
      <formula>1</formula>
    </cfRule>
  </conditionalFormatting>
  <conditionalFormatting sqref="N9:V9">
    <cfRule type="cellIs" dxfId="10" priority="14" operator="greaterThan">
      <formula>3</formula>
    </cfRule>
    <cfRule type="cellIs" dxfId="9" priority="15" operator="lessThan">
      <formula>1</formula>
    </cfRule>
  </conditionalFormatting>
  <conditionalFormatting sqref="N10:V10">
    <cfRule type="cellIs" dxfId="8" priority="12" operator="greaterThan">
      <formula>3</formula>
    </cfRule>
    <cfRule type="cellIs" dxfId="7" priority="13" operator="lessThan">
      <formula>1</formula>
    </cfRule>
  </conditionalFormatting>
  <conditionalFormatting sqref="N11:V11">
    <cfRule type="cellIs" dxfId="6" priority="10" operator="greaterThan">
      <formula>3</formula>
    </cfRule>
    <cfRule type="cellIs" dxfId="5" priority="11" operator="lessThan">
      <formula>1</formula>
    </cfRule>
  </conditionalFormatting>
  <conditionalFormatting sqref="N12:V12">
    <cfRule type="cellIs" dxfId="4" priority="8" operator="greaterThan">
      <formula>3</formula>
    </cfRule>
    <cfRule type="cellIs" dxfId="3" priority="9" operator="lessThan">
      <formula>1</formula>
    </cfRule>
  </conditionalFormatting>
  <conditionalFormatting sqref="M5:V12">
    <cfRule type="cellIs" dxfId="2" priority="7" operator="equal">
      <formula>-1</formula>
    </cfRule>
  </conditionalFormatting>
  <conditionalFormatting sqref="C2:V2">
    <cfRule type="cellIs" dxfId="1" priority="6" operator="equal">
      <formula>0</formula>
    </cfRule>
  </conditionalFormatting>
  <conditionalFormatting sqref="C22:L23">
    <cfRule type="cellIs" dxfId="0" priority="1" operator="equal">
      <formula>-1</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Exported Scores</vt:lpstr>
      <vt:lpstr>Data</vt:lpstr>
      <vt:lpstr>URLs</vt:lpstr>
      <vt:lpstr>Tech Scores</vt:lpstr>
      <vt:lpstr>Averages</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Chetan</dc:creator>
  <cp:lastModifiedBy>Shankar</cp:lastModifiedBy>
  <dcterms:created xsi:type="dcterms:W3CDTF">2014-10-06T13:42:57Z</dcterms:created>
  <dcterms:modified xsi:type="dcterms:W3CDTF">2018-07-04T03:18:35Z</dcterms:modified>
</cp:coreProperties>
</file>